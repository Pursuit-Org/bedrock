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eprioritized" sheetId="2" state="visible" r:id="rId2"/>
    <sheet name="Call Accuracy Review" sheetId="3" state="visible" r:id="rId3"/>
    <sheet name="Est. Jobs" sheetId="4" state="visible" r:id="rId4"/>
    <sheet name="Priority Oppty Set" sheetId="5" state="visible" r:id="rId5"/>
    <sheet name="Appendix Contact Outreach" sheetId="6" state="visible" r:id="rId6"/>
  </sheets>
  <definedNames/>
  <calcPr calcId="124519" fullCalcOnLoad="1"/>
</workbook>
</file>

<file path=xl/styles.xml><?xml version="1.0" encoding="utf-8"?>
<styleSheet xmlns="http://schemas.openxmlformats.org/spreadsheetml/2006/main">
  <numFmts count="4">
    <numFmt numFmtId="164" formatCode="yyyy-mm-dd"/>
    <numFmt numFmtId="165" formatCode="mmmm d, yyyy"/>
    <numFmt numFmtId="166" formatCode="0.0"/>
    <numFmt numFmtId="167" formatCode="mmm d, yyyy"/>
  </numFmts>
  <fonts count="5">
    <font>
      <name val="Calibri"/>
      <family val="2"/>
      <color theme="1"/>
      <sz val="11"/>
      <scheme val="minor"/>
    </font>
    <font>
      <b val="1"/>
      <sz val="12"/>
    </font>
    <font>
      <b val="1"/>
      <sz val="11"/>
    </font>
    <font>
      <b val="1"/>
      <color rgb="00FFFFFF"/>
    </font>
    <font>
      <b val="1"/>
    </font>
  </fonts>
  <fills count="5">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4" borderId="0" applyAlignment="1" pivotButton="0" quotePrefix="0" xfId="0">
      <alignment vertical="top" wrapText="1"/>
    </xf>
    <xf numFmtId="0" fontId="4" fillId="0" borderId="0" pivotButton="0" quotePrefix="0" xfId="0"/>
    <xf numFmtId="166" fontId="0" fillId="0" borderId="0" pivotButton="0" quotePrefix="0" xfId="0"/>
    <xf numFmtId="0" fontId="0" fillId="3" borderId="0" pivotButton="0" quotePrefix="0" xfId="0"/>
    <xf numFmtId="167" fontId="0" fillId="3" borderId="0" pivotButton="0" quotePrefix="0" xfId="0"/>
    <xf numFmtId="9" fontId="0" fillId="3"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9/28 Jobs Review: companion workbook</t>
        </is>
      </c>
    </row>
    <row r="2">
      <c r="A2" s="2" t="inlineStr"/>
    </row>
    <row r="3">
      <c r="A3" s="3" t="inlineStr">
        <is>
          <t>What is in here</t>
        </is>
      </c>
    </row>
    <row r="4">
      <c r="A4" s="2" t="inlineStr">
        <is>
          <t>1. Deprioritized: paste-ready rows for the '9/28_Deprioritized Accounts &amp; Opportunities' tab (columns A to D match yours; column E is a review flag you can drop).</t>
        </is>
      </c>
    </row>
    <row r="5">
      <c r="A5" s="2" t="inlineStr">
        <is>
          <t>2. Est. Jobs: formula-driven version of your 'Est. Jobs' tab. Same row layout as yours (rows 1 to 14), plus assumptions in rows 15 to 26.</t>
        </is>
      </c>
    </row>
    <row r="6">
      <c r="A6" s="2" t="inlineStr">
        <is>
          <t>3. Priority Oppty Set: a copy of your '9/28_Priority Oppty Set' tab exactly as it stands today, so the formulas calculate in this file.</t>
        </is>
      </c>
    </row>
    <row r="7">
      <c r="A7" s="2" t="inlineStr">
        <is>
          <t>4. Call Accuracy Review: where the current sheet diverges from the call or from Bedrock, with a suggested fix.</t>
        </is>
      </c>
    </row>
    <row r="8">
      <c r="A8" s="2" t="inlineStr">
        <is>
          <t>5. Appendix Contact Outreach: company-level roll-up of Operation 35 contacts owned by Avni and Damon that were not discussed. Optional; paste only if you want contact-level coverage.</t>
        </is>
      </c>
    </row>
    <row r="9">
      <c r="A9" s="2" t="inlineStr"/>
    </row>
    <row r="10">
      <c r="A10" s="3" t="inlineStr">
        <is>
          <t>How to paste the Est. Jobs formulas into your original sheet</t>
        </is>
      </c>
    </row>
    <row r="11">
      <c r="A11" s="2" t="inlineStr">
        <is>
          <t>Excel does not allow '/' in tab names, so formulas here point at 'Priority Oppty Set'. Two options:</t>
        </is>
      </c>
    </row>
    <row r="12">
      <c r="A12" s="2" t="inlineStr">
        <is>
          <t>Option A (most reliable): in column D of the Est. Jobs tab, copy a cell's text, click the matching cell in your tab, and paste into the formula bar (not the cell), then Enter. Column D is already rewritten for '9/28_Priority Oppty Set'.</t>
        </is>
      </c>
    </row>
    <row r="13">
      <c r="A13" s="2" t="inlineStr">
        <is>
          <t>Option B: copy B1:B26 from here, paste into your tab, then Edit &gt; Find and replace: find 'Priority Oppty Set', replace with '9/28_Priority Oppty Set', tick 'Also search within formulas'.</t>
        </is>
      </c>
    </row>
    <row r="14">
      <c r="A14" s="2" t="inlineStr">
        <is>
          <t>Also copy rows 15 to 26 (assumptions). The formulas reference those cells.</t>
        </is>
      </c>
    </row>
    <row r="15">
      <c r="A15" s="2" t="inlineStr"/>
    </row>
    <row r="16">
      <c r="A16" s="3" t="inlineStr">
        <is>
          <t>Data sources</t>
        </is>
      </c>
    </row>
    <row r="17">
      <c r="A17" s="2" t="inlineStr">
        <is>
          <t>Bedrock production DB (bedrock.jobs_account, bedrock.jobs_opportunity, bedrock.jobs_contact_membership), pulled 2026-09-28. Call transcript from 9/28 jobs review. Your Google Sheet '9/28_Jobs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9"/>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20" customWidth="1" min="3" max="3"/>
    <col width="100" customWidth="1" min="4" max="4"/>
    <col width="40" customWidth="1" min="5" max="5"/>
  </cols>
  <sheetData>
    <row r="1">
      <c r="A1" s="4" t="inlineStr">
        <is>
          <t>Account</t>
        </is>
      </c>
      <c r="B1" s="4" t="inlineStr">
        <is>
          <t>Opportunity?</t>
        </is>
      </c>
      <c r="C1" s="4" t="inlineStr">
        <is>
          <t>Historical Owner</t>
        </is>
      </c>
      <c r="D1" s="4" t="inlineStr">
        <is>
          <t>Deprioritization Rationale</t>
        </is>
      </c>
      <c r="E1" s="4" t="inlineStr">
        <is>
          <t>Review flag</t>
        </is>
      </c>
    </row>
    <row r="2">
      <c r="A2" s="2" t="inlineStr">
        <is>
          <t>Citi</t>
        </is>
      </c>
      <c r="B2" s="2" t="inlineStr">
        <is>
          <t>No</t>
        </is>
      </c>
      <c r="C2" s="2" t="inlineStr">
        <is>
          <t>Devika Gopal Agge</t>
        </is>
      </c>
      <c r="D2" s="2" t="inlineStr">
        <is>
          <t>Discussed on 9/28 call: gone silent; running its own Citi bootcamp and not using DEI hiring partners. Team agreed to list it and cross it out. Remove from Priority Oppty Set.</t>
        </is>
      </c>
      <c r="E2" s="2" t="inlineStr"/>
    </row>
    <row r="3">
      <c r="A3" s="5" t="inlineStr">
        <is>
          <t>Agility Recovery</t>
        </is>
      </c>
      <c r="B3" s="5" t="inlineStr">
        <is>
          <t>Yes</t>
        </is>
      </c>
      <c r="C3" s="5" t="inlineStr">
        <is>
          <t>Damon Kornhauser</t>
        </is>
      </c>
      <c r="D3" s="5" t="inlineStr">
        <is>
          <t>Open opp: AI-Native Bookkeeping/Biz Ops, 1 role, Active Opportunity Confirmed, likelihood High (SMB). No update since 7/30. Not discussed on 9/28 call; assume deprioritized.</t>
        </is>
      </c>
      <c r="E3" s="5" t="inlineStr">
        <is>
          <t>CONFIRM WITH DAMON: confirmed role, high likelihood</t>
        </is>
      </c>
    </row>
    <row r="4">
      <c r="A4" s="5" t="inlineStr">
        <is>
          <t>Stripe</t>
        </is>
      </c>
      <c r="B4" s="5" t="inlineStr">
        <is>
          <t>Yes</t>
        </is>
      </c>
      <c r="C4" s="5" t="inlineStr">
        <is>
          <t>Damon Kornhauser</t>
        </is>
      </c>
      <c r="D4" s="5" t="inlineStr">
        <is>
          <t>Open opp: Fall 2026 Campus Recruiting, 1 role, Active Opportunity Confirmed, likelihood High. Updated 9/24. Not discussed on 9/28 call; assume deprioritized.</t>
        </is>
      </c>
      <c r="E4" s="5" t="inlineStr">
        <is>
          <t>CONFIRM WITH DAMON: confirmed role, high likelihood</t>
        </is>
      </c>
    </row>
    <row r="5">
      <c r="A5" s="5" t="inlineStr">
        <is>
          <t>TBD (via Equal Access Recruiting)</t>
        </is>
      </c>
      <c r="B5" s="5" t="inlineStr">
        <is>
          <t>Yes</t>
        </is>
      </c>
      <c r="C5" s="5" t="inlineStr">
        <is>
          <t>Damon Kornhauser</t>
        </is>
      </c>
      <c r="D5" s="5" t="inlineStr">
        <is>
          <t>Open opp: Lead Sales Development Rep, Active Opportunity Confirmed. Updated 9/24. Not discussed on 9/28 call; assume deprioritized.</t>
        </is>
      </c>
      <c r="E5" s="5" t="inlineStr">
        <is>
          <t>CONFIRM WITH DAMON: confirmed role</t>
        </is>
      </c>
    </row>
    <row r="6">
      <c r="A6" s="5" t="inlineStr">
        <is>
          <t>Asian Americans for Equality</t>
        </is>
      </c>
      <c r="B6" s="5" t="inlineStr">
        <is>
          <t>Yes</t>
        </is>
      </c>
      <c r="C6" s="5" t="inlineStr">
        <is>
          <t>Damon Kornhauser</t>
        </is>
      </c>
      <c r="D6" s="5" t="inlineStr">
        <is>
          <t>Open opp: Property Coordinator (nonprofit), Active Opportunity Confirmed. No update since 8/13. Not discussed on 9/28 call; assume deprioritized.</t>
        </is>
      </c>
      <c r="E6" s="5" t="inlineStr">
        <is>
          <t>CONFIRM WITH DAMON: confirmed role</t>
        </is>
      </c>
    </row>
    <row r="7">
      <c r="A7" s="5" t="inlineStr">
        <is>
          <t>Anthropic / Claude Corps</t>
        </is>
      </c>
      <c r="B7" s="5" t="inlineStr">
        <is>
          <t>Yes</t>
        </is>
      </c>
      <c r="C7" s="5" t="inlineStr">
        <is>
          <t>Damon Kornhauser</t>
        </is>
      </c>
      <c r="D7" s="5" t="inlineStr">
        <is>
          <t>Two open opps (Claude Corps; Claude Corps Fellow), Active Opportunity Confirmed, likelihood Medium. Account record owned by Avni. Not discussed on 9/28 call; assume deprioritized. Fellowship, not a builder job; may not count toward Operation 35.</t>
        </is>
      </c>
      <c r="E7" s="5" t="inlineStr">
        <is>
          <t>CONFIRM: does a fellowship count toward the 35?</t>
        </is>
      </c>
    </row>
    <row r="8">
      <c r="A8" s="5" t="inlineStr">
        <is>
          <t>Count Us In</t>
        </is>
      </c>
      <c r="B8" s="5" t="inlineStr">
        <is>
          <t>Yes</t>
        </is>
      </c>
      <c r="C8" s="5" t="inlineStr">
        <is>
          <t>Damon Kornhauser</t>
        </is>
      </c>
      <c r="D8" s="5" t="inlineStr">
        <is>
          <t>Open opp: Content + Comms Associate, 1 role, Active in Discussions, likelihood Medium (nonprofit). Updated 9/24. Not discussed on 9/28 call; assume deprioritized.</t>
        </is>
      </c>
      <c r="E8" s="5" t="inlineStr">
        <is>
          <t>CONFIRM WITH DAMON: recent activity</t>
        </is>
      </c>
    </row>
    <row r="9">
      <c r="A9" s="2" t="inlineStr">
        <is>
          <t>Touchlab</t>
        </is>
      </c>
      <c r="B9" s="2" t="inlineStr">
        <is>
          <t>Yes</t>
        </is>
      </c>
      <c r="C9" s="2" t="inlineStr">
        <is>
          <t>Damon Kornhauser</t>
        </is>
      </c>
      <c r="D9" s="2" t="inlineStr">
        <is>
          <t>Open opp, Active in Discussions, likelihood Medium (startup). No update since 7/30. Not discussed on 9/28 call; assume deprioritized.</t>
        </is>
      </c>
      <c r="E9" s="2" t="inlineStr"/>
    </row>
    <row r="10">
      <c r="A10" s="2" t="inlineStr">
        <is>
          <t>Quay</t>
        </is>
      </c>
      <c r="B10" s="2" t="inlineStr">
        <is>
          <t>Yes</t>
        </is>
      </c>
      <c r="C10" s="2" t="inlineStr">
        <is>
          <t>Damon Kornhauser</t>
        </is>
      </c>
      <c r="D10" s="2" t="inlineStr">
        <is>
          <t>Two open opps (AI Enablement), Active in Discussions. Bedrock note: 'likely not immediate hire but explicit interest for medium-term'. Not discussed on 9/28 call; assume deprioritized. Merge duplicate opps in Bedrock.</t>
        </is>
      </c>
      <c r="E10" s="2" t="inlineStr"/>
    </row>
    <row r="11">
      <c r="A11" s="2" t="inlineStr">
        <is>
          <t>Mobiik</t>
        </is>
      </c>
      <c r="B11" s="2" t="inlineStr">
        <is>
          <t>Yes</t>
        </is>
      </c>
      <c r="C11" s="2" t="inlineStr">
        <is>
          <t>Damon Kornhauser</t>
        </is>
      </c>
      <c r="D11" s="2" t="inlineStr">
        <is>
          <t>Two open opps (Q3 2026 Discovery), Active in Discussions, no roles defined. Not discussed on 9/28 call; assume deprioritized. Merge duplicate opps in Bedrock.</t>
        </is>
      </c>
      <c r="E11" s="2" t="inlineStr"/>
    </row>
    <row r="12">
      <c r="A12" s="2" t="inlineStr">
        <is>
          <t>Booz Allen</t>
        </is>
      </c>
      <c r="B12" s="2" t="inlineStr">
        <is>
          <t>Yes</t>
        </is>
      </c>
      <c r="C12" s="2" t="inlineStr">
        <is>
          <t>Damon Kornhauser</t>
        </is>
      </c>
      <c r="D12" s="2" t="inlineStr">
        <is>
          <t>Open opp, Active in Discussions, no roles defined (enterprise). No update since 7/30. Not discussed on 9/28 call; assume deprioritized.</t>
        </is>
      </c>
      <c r="E12" s="2" t="inlineStr"/>
    </row>
    <row r="13">
      <c r="A13" s="2" t="inlineStr">
        <is>
          <t>C12 Capital Group</t>
        </is>
      </c>
      <c r="B13" s="2" t="inlineStr">
        <is>
          <t>Yes</t>
        </is>
      </c>
      <c r="C13" s="2" t="inlineStr">
        <is>
          <t>Damon Kornhauser</t>
        </is>
      </c>
      <c r="D13" s="2" t="inlineStr">
        <is>
          <t>Open opp (C12 Capital Q3 2026), Active in Discussions, no roles defined (SMB). No update since 7/23. Not discussed on 9/28 call; assume deprioritized.</t>
        </is>
      </c>
      <c r="E13" s="2" t="inlineStr"/>
    </row>
    <row r="14">
      <c r="A14" s="2" t="inlineStr">
        <is>
          <t>Eataly</t>
        </is>
      </c>
      <c r="B14" s="2" t="inlineStr">
        <is>
          <t>Yes</t>
        </is>
      </c>
      <c r="C14" s="2" t="inlineStr">
        <is>
          <t>Damon Kornhauser</t>
        </is>
      </c>
      <c r="D14" s="2" t="inlineStr">
        <is>
          <t>Open opp, 1 role, Active in Discussions, likelihood Low (SMB). No update since 7/23. Not discussed on 9/28 call; assume deprioritized.</t>
        </is>
      </c>
      <c r="E14" s="2" t="inlineStr"/>
    </row>
    <row r="15">
      <c r="A15" s="2" t="inlineStr">
        <is>
          <t>INNOV</t>
        </is>
      </c>
      <c r="B15" s="2" t="inlineStr">
        <is>
          <t>Yes</t>
        </is>
      </c>
      <c r="C15" s="2" t="inlineStr">
        <is>
          <t>Damon Kornhauser</t>
        </is>
      </c>
      <c r="D15" s="2" t="inlineStr">
        <is>
          <t>Open opp (TBD Q3 2026), Active in Discussions, no roles defined (nonprofit). No update since 7/23. Not discussed on 9/28 call; assume deprioritized.</t>
        </is>
      </c>
      <c r="E15" s="2" t="inlineStr"/>
    </row>
    <row r="16">
      <c r="A16" s="2" t="inlineStr">
        <is>
          <t>JLL</t>
        </is>
      </c>
      <c r="B16" s="2" t="inlineStr">
        <is>
          <t>Yes</t>
        </is>
      </c>
      <c r="C16" s="2" t="inlineStr">
        <is>
          <t>Damon Kornhauser</t>
        </is>
      </c>
      <c r="D16" s="2" t="inlineStr">
        <is>
          <t>Open opp (JLL Q3 2026), Active in Discussions, no roles defined. No update since 8/13. Not discussed on 9/28 call; assume deprioritized.</t>
        </is>
      </c>
      <c r="E16" s="2" t="inlineStr"/>
    </row>
    <row r="17">
      <c r="A17" s="2" t="inlineStr">
        <is>
          <t>Robin</t>
        </is>
      </c>
      <c r="B17" s="2" t="inlineStr">
        <is>
          <t>Yes</t>
        </is>
      </c>
      <c r="C17" s="2" t="inlineStr">
        <is>
          <t>Damon Kornhauser</t>
        </is>
      </c>
      <c r="D17" s="2" t="inlineStr">
        <is>
          <t>Open opp (TBD Q3 2026), Active in Discussions, no roles defined (startup). No update since 7/23. Not discussed on 9/28 call; assume deprioritized.</t>
        </is>
      </c>
      <c r="E17" s="2" t="inlineStr"/>
    </row>
    <row r="18">
      <c r="A18" s="2" t="inlineStr">
        <is>
          <t>Ronati</t>
        </is>
      </c>
      <c r="B18" s="2" t="inlineStr">
        <is>
          <t>Yes</t>
        </is>
      </c>
      <c r="C18" s="2" t="inlineStr">
        <is>
          <t>Damon Kornhauser</t>
        </is>
      </c>
      <c r="D18" s="2" t="inlineStr">
        <is>
          <t>Open opp, 1 role, Active in Discussions, likelihood Low (startup). No update since 7/23. Not discussed on 9/28 call; assume deprioritized.</t>
        </is>
      </c>
      <c r="E18" s="2" t="inlineStr"/>
    </row>
    <row r="19">
      <c r="A19" s="2" t="inlineStr">
        <is>
          <t>Crux</t>
        </is>
      </c>
      <c r="B19" s="2" t="inlineStr">
        <is>
          <t>Yes</t>
        </is>
      </c>
      <c r="C19" s="2" t="inlineStr">
        <is>
          <t>Avni Nahar</t>
        </is>
      </c>
      <c r="D19" s="2" t="inlineStr">
        <is>
          <t>Open opp, Active in Discussions, likelihood Medium (startup); call booked with contact. No update since 8/20. Not discussed on 9/28 call; assume deprioritized.</t>
        </is>
      </c>
      <c r="E19" s="2" t="inlineStr"/>
    </row>
    <row r="20">
      <c r="A20" s="5" t="inlineStr">
        <is>
          <t>Oak HC/FT</t>
        </is>
      </c>
      <c r="B20" s="5" t="inlineStr">
        <is>
          <t>Yes</t>
        </is>
      </c>
      <c r="C20" s="5" t="inlineStr">
        <is>
          <t>Avni Nahar</t>
        </is>
      </c>
      <c r="D20" s="5" t="inlineStr">
        <is>
          <t>Open opp, Active in Discussions (VC/PE). Bedrock note: 'Referral partner for portcos'. Not discussed on 9/28 call; assume deprioritized. Worth keeping as a sourcing channel (see Devika's parent/portfolio point on the call).</t>
        </is>
      </c>
      <c r="E20" s="5" t="inlineStr">
        <is>
          <t>CONSIDER: sourcing channel, not a job</t>
        </is>
      </c>
    </row>
    <row r="21">
      <c r="A21" s="2" t="inlineStr">
        <is>
          <t>Intuit</t>
        </is>
      </c>
      <c r="B21" s="2" t="inlineStr">
        <is>
          <t>Yes</t>
        </is>
      </c>
      <c r="C21" s="2" t="inlineStr">
        <is>
          <t>Avni Nahar</t>
        </is>
      </c>
      <c r="D21" s="2" t="inlineStr">
        <is>
          <t>Open opp, Builder Submitted, part-time/contract. Updated 9/23. Not discussed on 9/28 call; assume deprioritized. Part-time does not count toward full-time Operation 35 goal.</t>
        </is>
      </c>
      <c r="E21" s="2" t="inlineStr"/>
    </row>
    <row r="22">
      <c r="A22" s="2" t="inlineStr">
        <is>
          <t>Main Street Assembly</t>
        </is>
      </c>
      <c r="B22" s="2" t="inlineStr">
        <is>
          <t>Yes</t>
        </is>
      </c>
      <c r="C22" s="2" t="inlineStr">
        <is>
          <t>Avni Nahar</t>
        </is>
      </c>
      <c r="D22" s="2" t="inlineStr">
        <is>
          <t>Open opp, Active in Discussions, part-time/contract; call booked with contact. No update since 7/30. Not discussed on 9/28 call; assume deprioritized. Part-time does not count toward full-time goal.</t>
        </is>
      </c>
      <c r="E22" s="2" t="inlineStr"/>
    </row>
    <row r="23">
      <c r="A23" s="2" t="inlineStr">
        <is>
          <t>Maven Clinic</t>
        </is>
      </c>
      <c r="B23" s="2" t="inlineStr">
        <is>
          <t>No</t>
        </is>
      </c>
      <c r="C23" s="2" t="inlineStr">
        <is>
          <t>Avni Nahar</t>
        </is>
      </c>
      <c r="D23" s="2" t="inlineStr">
        <is>
          <t>There was an account for outreach. Only opportunity in Bedrock is Closed Lost. Not discussed on 9/28 call; assume deprioritized.</t>
        </is>
      </c>
      <c r="E23" s="2" t="inlineStr"/>
    </row>
    <row r="24">
      <c r="A24" s="2" t="inlineStr">
        <is>
          <t>Business Council of Westchester</t>
        </is>
      </c>
      <c r="B24" s="2" t="inlineStr">
        <is>
          <t>No</t>
        </is>
      </c>
      <c r="C24" s="2" t="inlineStr">
        <is>
          <t>Damon Kornhauser</t>
        </is>
      </c>
      <c r="D24" s="2" t="inlineStr">
        <is>
          <t>There was an account for outreach. No opportunity in Bedrock; no update since 7/23. Not discussed on 9/28 call; assume deprioritized.</t>
        </is>
      </c>
      <c r="E24" s="2" t="inlineStr"/>
    </row>
    <row r="25">
      <c r="A25" s="2" t="inlineStr">
        <is>
          <t>Southwest Connecticut Tech Hub</t>
        </is>
      </c>
      <c r="B25" s="2" t="inlineStr">
        <is>
          <t>No</t>
        </is>
      </c>
      <c r="C25" s="2" t="inlineStr">
        <is>
          <t>Damon Kornhauser</t>
        </is>
      </c>
      <c r="D25" s="2" t="inlineStr">
        <is>
          <t>There was an account for outreach. No opportunity in Bedrock; no update since 7/23. Not discussed on 9/28 call; assume deprioritized.</t>
        </is>
      </c>
      <c r="E25" s="2" t="inlineStr"/>
    </row>
    <row r="26">
      <c r="A26" s="5" t="inlineStr">
        <is>
          <t>Red Antler</t>
        </is>
      </c>
      <c r="B26" s="5" t="inlineStr">
        <is>
          <t>No</t>
        </is>
      </c>
      <c r="C26" s="5" t="inlineStr">
        <is>
          <t>Kwame Assoku</t>
        </is>
      </c>
      <c r="D26" s="5" t="inlineStr">
        <is>
          <t>There was an account for outreach. No opportunity in Bedrock (updated 9/22). Not discussed on 9/28 call; assume deprioritized.</t>
        </is>
      </c>
      <c r="E26" s="5" t="inlineStr">
        <is>
          <t>KWAME TO CONFIRM</t>
        </is>
      </c>
    </row>
    <row r="27">
      <c r="A27" s="2" t="inlineStr">
        <is>
          <t>1-800-Packouts</t>
        </is>
      </c>
      <c r="B27" s="2" t="inlineStr">
        <is>
          <t>No</t>
        </is>
      </c>
      <c r="C27" s="2" t="inlineStr">
        <is>
          <t>Avni Nahar</t>
        </is>
      </c>
      <c r="D27" s="2" t="inlineStr">
        <is>
          <t>There was an account for outreach. Part of the account pool bulk-assigned to Avni in Bedrock on 7/30; no opportunity and no logged movement since. Not discussed on 9/28 call; assume deprioritized. Avni is also moving off jobs accounts per Nick.</t>
        </is>
      </c>
      <c r="E27" s="2" t="inlineStr"/>
    </row>
    <row r="28">
      <c r="A28" s="2" t="inlineStr">
        <is>
          <t>AdeptID</t>
        </is>
      </c>
      <c r="B28" s="2" t="inlineStr">
        <is>
          <t>No</t>
        </is>
      </c>
      <c r="C28" s="2" t="inlineStr">
        <is>
          <t>Avni Nahar</t>
        </is>
      </c>
      <c r="D28" s="2" t="inlineStr">
        <is>
          <t>There was an account for outreach. Part of the account pool bulk-assigned to Avni in Bedrock on 7/30; no opportunity and no logged movement since. Not discussed on 9/28 call; assume deprioritized. Avni is also moving off jobs accounts per Nick.</t>
        </is>
      </c>
      <c r="E28" s="2" t="inlineStr"/>
    </row>
    <row r="29">
      <c r="A29" s="2" t="inlineStr">
        <is>
          <t>Aembit</t>
        </is>
      </c>
      <c r="B29" s="2" t="inlineStr">
        <is>
          <t>No</t>
        </is>
      </c>
      <c r="C29" s="2" t="inlineStr">
        <is>
          <t>Avni Nahar</t>
        </is>
      </c>
      <c r="D29" s="2" t="inlineStr">
        <is>
          <t>There was an account for outreach. Part of the account pool bulk-assigned to Avni in Bedrock on 7/30; no opportunity and no logged movement since. Not discussed on 9/28 call; assume deprioritized. Avni is also moving off jobs accounts per Nick.</t>
        </is>
      </c>
      <c r="E29" s="2" t="inlineStr"/>
    </row>
    <row r="30">
      <c r="A30" s="2" t="inlineStr">
        <is>
          <t>Alice</t>
        </is>
      </c>
      <c r="B30" s="2" t="inlineStr">
        <is>
          <t>No</t>
        </is>
      </c>
      <c r="C30" s="2" t="inlineStr">
        <is>
          <t>Avni Nahar</t>
        </is>
      </c>
      <c r="D30" s="2" t="inlineStr">
        <is>
          <t>There was an account for outreach. Part of the account pool bulk-assigned to Avni in Bedrock on 7/30; no opportunity and no logged movement since. Not discussed on 9/28 call; assume deprioritized. Avni is also moving off jobs accounts per Nick.</t>
        </is>
      </c>
      <c r="E30" s="2" t="inlineStr"/>
    </row>
    <row r="31">
      <c r="A31" s="2" t="inlineStr">
        <is>
          <t>Alliant Insurance Services</t>
        </is>
      </c>
      <c r="B31" s="2" t="inlineStr">
        <is>
          <t>No</t>
        </is>
      </c>
      <c r="C31" s="2" t="inlineStr">
        <is>
          <t>Avni Nahar</t>
        </is>
      </c>
      <c r="D31" s="2" t="inlineStr">
        <is>
          <t>There was an account for outreach. Part of the account pool bulk-assigned to Avni in Bedrock on 7/30; no opportunity and no logged movement since. Not discussed on 9/28 call; assume deprioritized. Avni is also moving off jobs accounts per Nick.</t>
        </is>
      </c>
      <c r="E31" s="2" t="inlineStr"/>
    </row>
    <row r="32">
      <c r="A32" s="2" t="inlineStr">
        <is>
          <t>Allied Digestive Health</t>
        </is>
      </c>
      <c r="B32" s="2" t="inlineStr">
        <is>
          <t>No</t>
        </is>
      </c>
      <c r="C32" s="2" t="inlineStr">
        <is>
          <t>Avni Nahar</t>
        </is>
      </c>
      <c r="D32" s="2" t="inlineStr">
        <is>
          <t>There was an account for outreach. Part of the account pool bulk-assigned to Avni in Bedrock on 7/30; no opportunity and no logged movement since. Not discussed on 9/28 call; assume deprioritized. Avni is also moving off jobs accounts per Nick.</t>
        </is>
      </c>
      <c r="E32" s="2" t="inlineStr"/>
    </row>
    <row r="33">
      <c r="A33" s="2" t="inlineStr">
        <is>
          <t>Alloy</t>
        </is>
      </c>
      <c r="B33" s="2" t="inlineStr">
        <is>
          <t>No</t>
        </is>
      </c>
      <c r="C33" s="2" t="inlineStr">
        <is>
          <t>Avni Nahar</t>
        </is>
      </c>
      <c r="D33" s="2" t="inlineStr">
        <is>
          <t>There was an account for outreach. Part of the account pool bulk-assigned to Avni in Bedrock on 7/30; no opportunity and no logged movement since. Not discussed on 9/28 call; assume deprioritized. Avni is also moving off jobs accounts per Nick.</t>
        </is>
      </c>
      <c r="E33" s="2" t="inlineStr"/>
    </row>
    <row r="34">
      <c r="A34" s="2" t="inlineStr">
        <is>
          <t>Alta</t>
        </is>
      </c>
      <c r="B34" s="2" t="inlineStr">
        <is>
          <t>No</t>
        </is>
      </c>
      <c r="C34" s="2" t="inlineStr">
        <is>
          <t>Avni Nahar</t>
        </is>
      </c>
      <c r="D34" s="2" t="inlineStr">
        <is>
          <t>There was an account for outreach. Part of the account pool bulk-assigned to Avni in Bedrock on 7/30; no opportunity and no logged movement since. Not discussed on 9/28 call; assume deprioritized. Avni is also moving off jobs accounts per Nick.</t>
        </is>
      </c>
      <c r="E34" s="2" t="inlineStr"/>
    </row>
    <row r="35">
      <c r="A35" s="2" t="inlineStr">
        <is>
          <t>A Place for Mom</t>
        </is>
      </c>
      <c r="B35" s="2" t="inlineStr">
        <is>
          <t>No</t>
        </is>
      </c>
      <c r="C35" s="2" t="inlineStr">
        <is>
          <t>Avni Nahar</t>
        </is>
      </c>
      <c r="D35" s="2" t="inlineStr">
        <is>
          <t>There was an account for outreach. Part of the account pool bulk-assigned to Avni in Bedrock on 7/30; no opportunity and no logged movement since. Not discussed on 9/28 call; assume deprioritized. Avni is also moving off jobs accounts per Nick.</t>
        </is>
      </c>
      <c r="E35" s="2" t="inlineStr"/>
    </row>
    <row r="36">
      <c r="A36" s="2" t="inlineStr">
        <is>
          <t>ArmorCode</t>
        </is>
      </c>
      <c r="B36" s="2" t="inlineStr">
        <is>
          <t>No</t>
        </is>
      </c>
      <c r="C36" s="2" t="inlineStr">
        <is>
          <t>Avni Nahar</t>
        </is>
      </c>
      <c r="D36" s="2" t="inlineStr">
        <is>
          <t>There was an account for outreach. Part of the account pool bulk-assigned to Avni in Bedrock on 7/30; no opportunity and no logged movement since. Not discussed on 9/28 call; assume deprioritized. Avni is also moving off jobs accounts per Nick.</t>
        </is>
      </c>
      <c r="E36" s="2" t="inlineStr"/>
    </row>
    <row r="37">
      <c r="A37" s="2" t="inlineStr">
        <is>
          <t>AVI-SPL</t>
        </is>
      </c>
      <c r="B37" s="2" t="inlineStr">
        <is>
          <t>No</t>
        </is>
      </c>
      <c r="C37" s="2" t="inlineStr">
        <is>
          <t>Avni Nahar</t>
        </is>
      </c>
      <c r="D37" s="2" t="inlineStr">
        <is>
          <t>There was an account for outreach. Part of the account pool bulk-assigned to Avni in Bedrock on 7/30; no opportunity and no logged movement since. Not discussed on 9/28 call; assume deprioritized. Avni is also moving off jobs accounts per Nick.</t>
        </is>
      </c>
      <c r="E37" s="2" t="inlineStr"/>
    </row>
    <row r="38">
      <c r="A38" s="2" t="inlineStr">
        <is>
          <t>AWP Safety</t>
        </is>
      </c>
      <c r="B38" s="2" t="inlineStr">
        <is>
          <t>No</t>
        </is>
      </c>
      <c r="C38" s="2" t="inlineStr">
        <is>
          <t>Avni Nahar</t>
        </is>
      </c>
      <c r="D38" s="2" t="inlineStr">
        <is>
          <t>There was an account for outreach. Part of the account pool bulk-assigned to Avni in Bedrock on 7/30; no opportunity and no logged movement since. Not discussed on 9/28 call; assume deprioritized. Avni is also moving off jobs accounts per Nick.</t>
        </is>
      </c>
      <c r="E38" s="2" t="inlineStr"/>
    </row>
    <row r="39">
      <c r="A39" s="2" t="inlineStr">
        <is>
          <t>Barnes Group</t>
        </is>
      </c>
      <c r="B39" s="2" t="inlineStr">
        <is>
          <t>No</t>
        </is>
      </c>
      <c r="C39" s="2" t="inlineStr">
        <is>
          <t>Avni Nahar</t>
        </is>
      </c>
      <c r="D39" s="2" t="inlineStr">
        <is>
          <t>There was an account for outreach. Part of the account pool bulk-assigned to Avni in Bedrock on 7/30; no opportunity and no logged movement since. Not discussed on 9/28 call; assume deprioritized. Avni is also moving off jobs accounts per Nick.</t>
        </is>
      </c>
      <c r="E39" s="2" t="inlineStr"/>
    </row>
    <row r="40">
      <c r="A40" s="2" t="inlineStr">
        <is>
          <t>Barry's</t>
        </is>
      </c>
      <c r="B40" s="2" t="inlineStr">
        <is>
          <t>No</t>
        </is>
      </c>
      <c r="C40" s="2" t="inlineStr">
        <is>
          <t>Avni Nahar</t>
        </is>
      </c>
      <c r="D40" s="2" t="inlineStr">
        <is>
          <t>There was an account for outreach. Part of the account pool bulk-assigned to Avni in Bedrock on 7/30; no opportunity and no logged movement since. Not discussed on 9/28 call; assume deprioritized. Avni is also moving off jobs accounts per Nick.</t>
        </is>
      </c>
      <c r="E40" s="2" t="inlineStr"/>
    </row>
    <row r="41">
      <c r="A41" s="2" t="inlineStr">
        <is>
          <t>Bio-One</t>
        </is>
      </c>
      <c r="B41" s="2" t="inlineStr">
        <is>
          <t>No</t>
        </is>
      </c>
      <c r="C41" s="2" t="inlineStr">
        <is>
          <t>Avni Nahar</t>
        </is>
      </c>
      <c r="D41" s="2" t="inlineStr">
        <is>
          <t>There was an account for outreach. Part of the account pool bulk-assigned to Avni in Bedrock on 7/30; no opportunity and no logged movement since. Not discussed on 9/28 call; assume deprioritized. Avni is also moving off jobs accounts per Nick.</t>
        </is>
      </c>
      <c r="E41" s="2" t="inlineStr"/>
    </row>
    <row r="42">
      <c r="A42" s="2" t="inlineStr">
        <is>
          <t>Bloom</t>
        </is>
      </c>
      <c r="B42" s="2" t="inlineStr">
        <is>
          <t>No</t>
        </is>
      </c>
      <c r="C42" s="2" t="inlineStr">
        <is>
          <t>Avni Nahar</t>
        </is>
      </c>
      <c r="D42" s="2" t="inlineStr">
        <is>
          <t>There was an account for outreach. Part of the account pool bulk-assigned to Avni in Bedrock on 7/30; no opportunity and no logged movement since. Not discussed on 9/28 call; assume deprioritized. Avni is also moving off jobs accounts per Nick.</t>
        </is>
      </c>
      <c r="E42" s="2" t="inlineStr"/>
    </row>
    <row r="43">
      <c r="A43" s="2" t="inlineStr">
        <is>
          <t>BluSky Restoration Contractors</t>
        </is>
      </c>
      <c r="B43" s="2" t="inlineStr">
        <is>
          <t>No</t>
        </is>
      </c>
      <c r="C43" s="2" t="inlineStr">
        <is>
          <t>Avni Nahar</t>
        </is>
      </c>
      <c r="D43" s="2" t="inlineStr">
        <is>
          <t>There was an account for outreach. Part of the account pool bulk-assigned to Avni in Bedrock on 7/30; no opportunity and no logged movement since. Not discussed on 9/28 call; assume deprioritized. Avni is also moving off jobs accounts per Nick.</t>
        </is>
      </c>
      <c r="E43" s="2" t="inlineStr"/>
    </row>
    <row r="44">
      <c r="A44" s="2" t="inlineStr">
        <is>
          <t>BreachRx</t>
        </is>
      </c>
      <c r="B44" s="2" t="inlineStr">
        <is>
          <t>No</t>
        </is>
      </c>
      <c r="C44" s="2" t="inlineStr">
        <is>
          <t>Avni Nahar</t>
        </is>
      </c>
      <c r="D44" s="2" t="inlineStr">
        <is>
          <t>There was an account for outreach. Part of the account pool bulk-assigned to Avni in Bedrock on 7/30; no opportunity and no logged movement since. Not discussed on 9/28 call; assume deprioritized. Avni is also moving off jobs accounts per Nick.</t>
        </is>
      </c>
      <c r="E44" s="2" t="inlineStr"/>
    </row>
    <row r="45">
      <c r="A45" s="2" t="inlineStr">
        <is>
          <t>Bumble</t>
        </is>
      </c>
      <c r="B45" s="2" t="inlineStr">
        <is>
          <t>No</t>
        </is>
      </c>
      <c r="C45" s="2" t="inlineStr">
        <is>
          <t>Avni Nahar</t>
        </is>
      </c>
      <c r="D45" s="2" t="inlineStr">
        <is>
          <t>There was an account for outreach. Part of the account pool bulk-assigned to Avni in Bedrock on 7/30; no opportunity and no logged movement since. Not discussed on 9/28 call; assume deprioritized. Avni is also moving off jobs accounts per Nick.</t>
        </is>
      </c>
      <c r="E45" s="2" t="inlineStr"/>
    </row>
    <row r="46">
      <c r="A46" s="2" t="inlineStr">
        <is>
          <t>Card My Yard</t>
        </is>
      </c>
      <c r="B46" s="2" t="inlineStr">
        <is>
          <t>No</t>
        </is>
      </c>
      <c r="C46" s="2" t="inlineStr">
        <is>
          <t>Avni Nahar</t>
        </is>
      </c>
      <c r="D46" s="2" t="inlineStr">
        <is>
          <t>There was an account for outreach. Part of the account pool bulk-assigned to Avni in Bedrock on 7/30; no opportunity and no logged movement since. Not discussed on 9/28 call; assume deprioritized. Avni is also moving off jobs accounts per Nick.</t>
        </is>
      </c>
      <c r="E46" s="2" t="inlineStr"/>
    </row>
    <row r="47">
      <c r="A47" s="2" t="inlineStr">
        <is>
          <t>Cashmere</t>
        </is>
      </c>
      <c r="B47" s="2" t="inlineStr">
        <is>
          <t>No</t>
        </is>
      </c>
      <c r="C47" s="2" t="inlineStr">
        <is>
          <t>Avni Nahar</t>
        </is>
      </c>
      <c r="D47" s="2" t="inlineStr">
        <is>
          <t>There was an account for outreach. Part of the account pool bulk-assigned to Avni in Bedrock on 7/30; no opportunity and no logged movement since. Not discussed on 9/28 call; assume deprioritized. Avni is also moving off jobs accounts per Nick.</t>
        </is>
      </c>
      <c r="E47" s="2" t="inlineStr"/>
    </row>
    <row r="48">
      <c r="A48" s="2" t="inlineStr">
        <is>
          <t>Cast &amp; Crew</t>
        </is>
      </c>
      <c r="B48" s="2" t="inlineStr">
        <is>
          <t>No</t>
        </is>
      </c>
      <c r="C48" s="2" t="inlineStr">
        <is>
          <t>Avni Nahar</t>
        </is>
      </c>
      <c r="D48" s="2" t="inlineStr">
        <is>
          <t>There was an account for outreach. Part of the account pool bulk-assigned to Avni in Bedrock on 7/30; no opportunity and no logged movement since. Not discussed on 9/28 call; assume deprioritized. Avni is also moving off jobs accounts per Nick.</t>
        </is>
      </c>
      <c r="E48" s="2" t="inlineStr"/>
    </row>
    <row r="49">
      <c r="A49" s="2" t="inlineStr">
        <is>
          <t>Centivo</t>
        </is>
      </c>
      <c r="B49" s="2" t="inlineStr">
        <is>
          <t>No</t>
        </is>
      </c>
      <c r="C49" s="2" t="inlineStr">
        <is>
          <t>Avni Nahar</t>
        </is>
      </c>
      <c r="D49" s="2" t="inlineStr">
        <is>
          <t>There was an account for outreach. Part of the account pool bulk-assigned to Avni in Bedrock on 7/30; no opportunity and no logged movement since. Not discussed on 9/28 call; assume deprioritized. Avni is also moving off jobs accounts per Nick.</t>
        </is>
      </c>
      <c r="E49" s="2" t="inlineStr"/>
    </row>
    <row r="50">
      <c r="A50" s="2" t="inlineStr">
        <is>
          <t>Chapter</t>
        </is>
      </c>
      <c r="B50" s="2" t="inlineStr">
        <is>
          <t>No</t>
        </is>
      </c>
      <c r="C50" s="2" t="inlineStr">
        <is>
          <t>Avni Nahar</t>
        </is>
      </c>
      <c r="D50" s="2" t="inlineStr">
        <is>
          <t>There was an account for outreach. Part of the account pool bulk-assigned to Avni in Bedrock on 7/30; no opportunity and no logged movement since. Not discussed on 9/28 call; assume deprioritized. Avni is also moving off jobs accounts per Nick.</t>
        </is>
      </c>
      <c r="E50" s="2" t="inlineStr"/>
    </row>
    <row r="51">
      <c r="A51" s="2" t="inlineStr">
        <is>
          <t>Cityblock Health</t>
        </is>
      </c>
      <c r="B51" s="2" t="inlineStr">
        <is>
          <t>No</t>
        </is>
      </c>
      <c r="C51" s="2" t="inlineStr">
        <is>
          <t>Avni Nahar</t>
        </is>
      </c>
      <c r="D51" s="2" t="inlineStr">
        <is>
          <t>There was an account for outreach. Part of the account pool bulk-assigned to Avni in Bedrock on 7/30; no opportunity and no logged movement since. Not discussed on 9/28 call; assume deprioritized. Avni is also moving off jobs accounts per Nick.</t>
        </is>
      </c>
      <c r="E51" s="2" t="inlineStr"/>
    </row>
    <row r="52">
      <c r="A52" s="2" t="inlineStr">
        <is>
          <t>Claim Health</t>
        </is>
      </c>
      <c r="B52" s="2" t="inlineStr">
        <is>
          <t>No</t>
        </is>
      </c>
      <c r="C52" s="2" t="inlineStr">
        <is>
          <t>Avni Nahar</t>
        </is>
      </c>
      <c r="D52" s="2" t="inlineStr">
        <is>
          <t>There was an account for outreach. Part of the account pool bulk-assigned to Avni in Bedrock on 7/30; no opportunity and no logged movement since. Not discussed on 9/28 call; assume deprioritized. Avni is also moving off jobs accounts per Nick.</t>
        </is>
      </c>
      <c r="E52" s="2" t="inlineStr"/>
    </row>
    <row r="53">
      <c r="A53" s="2" t="inlineStr">
        <is>
          <t>Clarifai</t>
        </is>
      </c>
      <c r="B53" s="2" t="inlineStr">
        <is>
          <t>No</t>
        </is>
      </c>
      <c r="C53" s="2" t="inlineStr">
        <is>
          <t>Avni Nahar</t>
        </is>
      </c>
      <c r="D53" s="2" t="inlineStr">
        <is>
          <t>There was an account for outreach. Part of the account pool bulk-assigned to Avni in Bedrock on 7/30; no opportunity and no logged movement since. Not discussed on 9/28 call; assume deprioritized. Avni is also moving off jobs accounts per Nick.</t>
        </is>
      </c>
      <c r="E53" s="2" t="inlineStr"/>
    </row>
    <row r="54">
      <c r="A54" s="2" t="inlineStr">
        <is>
          <t>CLEAResult</t>
        </is>
      </c>
      <c r="B54" s="2" t="inlineStr">
        <is>
          <t>No</t>
        </is>
      </c>
      <c r="C54" s="2" t="inlineStr">
        <is>
          <t>Avni Nahar</t>
        </is>
      </c>
      <c r="D54" s="2" t="inlineStr">
        <is>
          <t>There was an account for outreach. Part of the account pool bulk-assigned to Avni in Bedrock on 7/30; no opportunity and no logged movement since. Not discussed on 9/28 call; assume deprioritized. Avni is also moving off jobs accounts per Nick.</t>
        </is>
      </c>
      <c r="E54" s="2" t="inlineStr"/>
    </row>
    <row r="55">
      <c r="A55" s="2" t="inlineStr">
        <is>
          <t>Clear Health Strategies</t>
        </is>
      </c>
      <c r="B55" s="2" t="inlineStr">
        <is>
          <t>No</t>
        </is>
      </c>
      <c r="C55" s="2" t="inlineStr">
        <is>
          <t>Avni Nahar</t>
        </is>
      </c>
      <c r="D55" s="2" t="inlineStr">
        <is>
          <t>There was an account for outreach. Part of the account pool bulk-assigned to Avni in Bedrock on 7/30; no opportunity and no logged movement since. Not discussed on 9/28 call; assume deprioritized. Avni is also moving off jobs accounts per Nick.</t>
        </is>
      </c>
      <c r="E55" s="2" t="inlineStr"/>
    </row>
    <row r="56">
      <c r="A56" s="2" t="inlineStr">
        <is>
          <t>Coherent</t>
        </is>
      </c>
      <c r="B56" s="2" t="inlineStr">
        <is>
          <t>No</t>
        </is>
      </c>
      <c r="C56" s="2" t="inlineStr">
        <is>
          <t>Avni Nahar</t>
        </is>
      </c>
      <c r="D56" s="2" t="inlineStr">
        <is>
          <t>There was an account for outreach. Part of the account pool bulk-assigned to Avni in Bedrock on 7/30; no opportunity and no logged movement since. Not discussed on 9/28 call; assume deprioritized. Avni is also moving off jobs accounts per Nick.</t>
        </is>
      </c>
      <c r="E56" s="2" t="inlineStr"/>
    </row>
    <row r="57">
      <c r="A57" s="2" t="inlineStr">
        <is>
          <t>Coinbase</t>
        </is>
      </c>
      <c r="B57" s="2" t="inlineStr">
        <is>
          <t>No</t>
        </is>
      </c>
      <c r="C57" s="2" t="inlineStr">
        <is>
          <t>Avni Nahar</t>
        </is>
      </c>
      <c r="D57" s="2" t="inlineStr">
        <is>
          <t>There was an account for outreach. Part of the account pool bulk-assigned to Avni in Bedrock on 7/30; no opportunity and no logged movement since. Not discussed on 9/28 call; assume deprioritized. Avni is also moving off jobs accounts per Nick.</t>
        </is>
      </c>
      <c r="E57" s="2" t="inlineStr"/>
    </row>
    <row r="58">
      <c r="A58" s="2" t="inlineStr">
        <is>
          <t>Collabrios Health</t>
        </is>
      </c>
      <c r="B58" s="2" t="inlineStr">
        <is>
          <t>No</t>
        </is>
      </c>
      <c r="C58" s="2" t="inlineStr">
        <is>
          <t>Avni Nahar</t>
        </is>
      </c>
      <c r="D58" s="2" t="inlineStr">
        <is>
          <t>There was an account for outreach. Part of the account pool bulk-assigned to Avni in Bedrock on 7/30; no opportunity and no logged movement since. Not discussed on 9/28 call; assume deprioritized. Avni is also moving off jobs accounts per Nick.</t>
        </is>
      </c>
      <c r="E58" s="2" t="inlineStr"/>
    </row>
    <row r="59">
      <c r="A59" s="2" t="inlineStr">
        <is>
          <t>CoreWeave</t>
        </is>
      </c>
      <c r="B59" s="2" t="inlineStr">
        <is>
          <t>No</t>
        </is>
      </c>
      <c r="C59" s="2" t="inlineStr">
        <is>
          <t>Avni Nahar</t>
        </is>
      </c>
      <c r="D59" s="2" t="inlineStr">
        <is>
          <t>There was an account for outreach. Part of the account pool bulk-assigned to Avni in Bedrock on 7/30; no opportunity and no logged movement since. Not discussed on 9/28 call; assume deprioritized. Avni is also moving off jobs accounts per Nick.</t>
        </is>
      </c>
      <c r="E59" s="2" t="inlineStr"/>
    </row>
    <row r="60">
      <c r="A60" s="2" t="inlineStr">
        <is>
          <t>Cotiviti</t>
        </is>
      </c>
      <c r="B60" s="2" t="inlineStr">
        <is>
          <t>No</t>
        </is>
      </c>
      <c r="C60" s="2" t="inlineStr">
        <is>
          <t>Avni Nahar</t>
        </is>
      </c>
      <c r="D60" s="2" t="inlineStr">
        <is>
          <t>There was an account for outreach. Part of the account pool bulk-assigned to Avni in Bedrock on 7/30; no opportunity and no logged movement since. Not discussed on 9/28 call; assume deprioritized. Avni is also moving off jobs accounts per Nick.</t>
        </is>
      </c>
      <c r="E60" s="2" t="inlineStr"/>
    </row>
    <row r="61">
      <c r="A61" s="2" t="inlineStr">
        <is>
          <t>Cox Media Group</t>
        </is>
      </c>
      <c r="B61" s="2" t="inlineStr">
        <is>
          <t>No</t>
        </is>
      </c>
      <c r="C61" s="2" t="inlineStr">
        <is>
          <t>Avni Nahar</t>
        </is>
      </c>
      <c r="D61" s="2" t="inlineStr">
        <is>
          <t>There was an account for outreach. Part of the account pool bulk-assigned to Avni in Bedrock on 7/30; no opportunity and no logged movement since. Not discussed on 9/28 call; assume deprioritized. Avni is also moving off jobs accounts per Nick.</t>
        </is>
      </c>
      <c r="E61" s="2" t="inlineStr"/>
    </row>
    <row r="62">
      <c r="A62" s="2" t="inlineStr">
        <is>
          <t>Crowe</t>
        </is>
      </c>
      <c r="B62" s="2" t="inlineStr">
        <is>
          <t>No</t>
        </is>
      </c>
      <c r="C62" s="2" t="inlineStr">
        <is>
          <t>Avni Nahar</t>
        </is>
      </c>
      <c r="D62" s="2" t="inlineStr">
        <is>
          <t>There was an account for outreach. Part of the account pool bulk-assigned to Avni in Bedrock on 7/30; no opportunity and no logged movement since. Not discussed on 9/28 call; assume deprioritized. Avni is also moving off jobs accounts per Nick.</t>
        </is>
      </c>
      <c r="E62" s="2" t="inlineStr"/>
    </row>
    <row r="63">
      <c r="A63" s="2" t="inlineStr">
        <is>
          <t>Crunch Fitness</t>
        </is>
      </c>
      <c r="B63" s="2" t="inlineStr">
        <is>
          <t>No</t>
        </is>
      </c>
      <c r="C63" s="2" t="inlineStr">
        <is>
          <t>Avni Nahar</t>
        </is>
      </c>
      <c r="D63" s="2" t="inlineStr">
        <is>
          <t>There was an account for outreach. Part of the account pool bulk-assigned to Avni in Bedrock on 7/30; no opportunity and no logged movement since. Not discussed on 9/28 call; assume deprioritized. Avni is also moving off jobs accounts per Nick.</t>
        </is>
      </c>
      <c r="E63" s="2" t="inlineStr"/>
    </row>
    <row r="64">
      <c r="A64" s="2" t="inlineStr">
        <is>
          <t>Curana Health</t>
        </is>
      </c>
      <c r="B64" s="2" t="inlineStr">
        <is>
          <t>No</t>
        </is>
      </c>
      <c r="C64" s="2" t="inlineStr">
        <is>
          <t>Avni Nahar</t>
        </is>
      </c>
      <c r="D64" s="2" t="inlineStr">
        <is>
          <t>There was an account for outreach. Part of the account pool bulk-assigned to Avni in Bedrock on 7/30; no opportunity and no logged movement since. Not discussed on 9/28 call; assume deprioritized. Avni is also moving off jobs accounts per Nick.</t>
        </is>
      </c>
      <c r="E64" s="2" t="inlineStr"/>
    </row>
    <row r="65">
      <c r="A65" s="2" t="inlineStr">
        <is>
          <t>Cushman &amp; Wakefield</t>
        </is>
      </c>
      <c r="B65" s="2" t="inlineStr">
        <is>
          <t>No</t>
        </is>
      </c>
      <c r="C65" s="2" t="inlineStr">
        <is>
          <t>Avni Nahar</t>
        </is>
      </c>
      <c r="D65" s="2" t="inlineStr">
        <is>
          <t>There was an account for outreach. Part of the account pool bulk-assigned to Avni in Bedrock on 7/30; no opportunity and no logged movement since. Not discussed on 9/28 call; assume deprioritized. Avni is also moving off jobs accounts per Nick.</t>
        </is>
      </c>
      <c r="E65" s="2" t="inlineStr"/>
    </row>
    <row r="66">
      <c r="A66" s="2" t="inlineStr">
        <is>
          <t>customer.io</t>
        </is>
      </c>
      <c r="B66" s="2" t="inlineStr">
        <is>
          <t>No</t>
        </is>
      </c>
      <c r="C66" s="2" t="inlineStr">
        <is>
          <t>Avni Nahar</t>
        </is>
      </c>
      <c r="D66" s="2" t="inlineStr">
        <is>
          <t>There was an account for outreach. Part of the account pool bulk-assigned to Avni in Bedrock on 7/30; no opportunity and no logged movement since. Not discussed on 9/28 call; assume deprioritized. Avni is also moving off jobs accounts per Nick.</t>
        </is>
      </c>
      <c r="E66" s="2" t="inlineStr"/>
    </row>
    <row r="67">
      <c r="A67" s="2" t="inlineStr">
        <is>
          <t>Cvent</t>
        </is>
      </c>
      <c r="B67" s="2" t="inlineStr">
        <is>
          <t>No</t>
        </is>
      </c>
      <c r="C67" s="2" t="inlineStr">
        <is>
          <t>Avni Nahar</t>
        </is>
      </c>
      <c r="D67" s="2" t="inlineStr">
        <is>
          <t>There was an account for outreach. Part of the account pool bulk-assigned to Avni in Bedrock on 7/30; no opportunity and no logged movement since. Not discussed on 9/28 call; assume deprioritized. Avni is also moving off jobs accounts per Nick.</t>
        </is>
      </c>
      <c r="E67" s="2" t="inlineStr"/>
    </row>
    <row r="68">
      <c r="A68" s="2" t="inlineStr">
        <is>
          <t>D1 Training</t>
        </is>
      </c>
      <c r="B68" s="2" t="inlineStr">
        <is>
          <t>No</t>
        </is>
      </c>
      <c r="C68" s="2" t="inlineStr">
        <is>
          <t>Avni Nahar</t>
        </is>
      </c>
      <c r="D68" s="2" t="inlineStr">
        <is>
          <t>There was an account for outreach. Part of the account pool bulk-assigned to Avni in Bedrock on 7/30; no opportunity and no logged movement since. Not discussed on 9/28 call; assume deprioritized. Avni is also moving off jobs accounts per Nick.</t>
        </is>
      </c>
      <c r="E68" s="2" t="inlineStr"/>
    </row>
    <row r="69">
      <c r="A69" s="2" t="inlineStr">
        <is>
          <t>Dandy</t>
        </is>
      </c>
      <c r="B69" s="2" t="inlineStr">
        <is>
          <t>No</t>
        </is>
      </c>
      <c r="C69" s="2" t="inlineStr">
        <is>
          <t>Avni Nahar</t>
        </is>
      </c>
      <c r="D69" s="2" t="inlineStr">
        <is>
          <t>There was an account for outreach. Part of the account pool bulk-assigned to Avni in Bedrock on 7/30; no opportunity and no logged movement since. Not discussed on 9/28 call; assume deprioritized. Avni is also moving off jobs accounts per Nick.</t>
        </is>
      </c>
      <c r="E69" s="2" t="inlineStr"/>
    </row>
    <row r="70">
      <c r="A70" s="2" t="inlineStr">
        <is>
          <t>Databricks</t>
        </is>
      </c>
      <c r="B70" s="2" t="inlineStr">
        <is>
          <t>No</t>
        </is>
      </c>
      <c r="C70" s="2" t="inlineStr">
        <is>
          <t>Avni Nahar</t>
        </is>
      </c>
      <c r="D70" s="2" t="inlineStr">
        <is>
          <t>There was an account for outreach. Part of the account pool bulk-assigned to Avni in Bedrock on 7/30; no opportunity and no logged movement since. Not discussed on 9/28 call; assume deprioritized. Avni is also moving off jobs accounts per Nick.</t>
        </is>
      </c>
      <c r="E70" s="2" t="inlineStr"/>
    </row>
    <row r="71">
      <c r="A71" s="2" t="inlineStr">
        <is>
          <t>Deel</t>
        </is>
      </c>
      <c r="B71" s="2" t="inlineStr">
        <is>
          <t>No</t>
        </is>
      </c>
      <c r="C71" s="2" t="inlineStr">
        <is>
          <t>Avni Nahar</t>
        </is>
      </c>
      <c r="D71" s="2" t="inlineStr">
        <is>
          <t>There was an account for outreach. Part of the account pool bulk-assigned to Avni in Bedrock on 7/30; no opportunity and no logged movement since. Not discussed on 9/28 call; assume deprioritized. Avni is also moving off jobs accounts per Nick.</t>
        </is>
      </c>
      <c r="E71" s="2" t="inlineStr"/>
    </row>
    <row r="72">
      <c r="A72" s="2" t="inlineStr">
        <is>
          <t>DeliverHealth</t>
        </is>
      </c>
      <c r="B72" s="2" t="inlineStr">
        <is>
          <t>No</t>
        </is>
      </c>
      <c r="C72" s="2" t="inlineStr">
        <is>
          <t>Avni Nahar</t>
        </is>
      </c>
      <c r="D72" s="2" t="inlineStr">
        <is>
          <t>There was an account for outreach. Part of the account pool bulk-assigned to Avni in Bedrock on 7/30; no opportunity and no logged movement since. Not discussed on 9/28 call; assume deprioritized. Avni is also moving off jobs accounts per Nick.</t>
        </is>
      </c>
      <c r="E72" s="2" t="inlineStr"/>
    </row>
    <row r="73">
      <c r="A73" s="2" t="inlineStr">
        <is>
          <t>Devoted Health</t>
        </is>
      </c>
      <c r="B73" s="2" t="inlineStr">
        <is>
          <t>No</t>
        </is>
      </c>
      <c r="C73" s="2" t="inlineStr">
        <is>
          <t>Avni Nahar</t>
        </is>
      </c>
      <c r="D73" s="2" t="inlineStr">
        <is>
          <t>There was an account for outreach. Part of the account pool bulk-assigned to Avni in Bedrock on 7/30; no opportunity and no logged movement since. Not discussed on 9/28 call; assume deprioritized. Avni is also moving off jobs accounts per Nick.</t>
        </is>
      </c>
      <c r="E73" s="2" t="inlineStr"/>
    </row>
    <row r="74">
      <c r="A74" s="2" t="inlineStr">
        <is>
          <t>Diamond Baseball Holdings</t>
        </is>
      </c>
      <c r="B74" s="2" t="inlineStr">
        <is>
          <t>No</t>
        </is>
      </c>
      <c r="C74" s="2" t="inlineStr">
        <is>
          <t>Avni Nahar</t>
        </is>
      </c>
      <c r="D74" s="2" t="inlineStr">
        <is>
          <t>There was an account for outreach. Part of the account pool bulk-assigned to Avni in Bedrock on 7/30; no opportunity and no logged movement since. Not discussed on 9/28 call; assume deprioritized. Avni is also moving off jobs accounts per Nick.</t>
        </is>
      </c>
      <c r="E74" s="2" t="inlineStr"/>
    </row>
    <row r="75">
      <c r="A75" s="2" t="inlineStr">
        <is>
          <t>Electric AI</t>
        </is>
      </c>
      <c r="B75" s="2" t="inlineStr">
        <is>
          <t>No</t>
        </is>
      </c>
      <c r="C75" s="2" t="inlineStr">
        <is>
          <t>Avni Nahar</t>
        </is>
      </c>
      <c r="D75" s="2" t="inlineStr">
        <is>
          <t>There was an account for outreach. Part of the account pool bulk-assigned to Avni in Bedrock on 7/30; no opportunity and no logged movement since. Not discussed on 9/28 call; assume deprioritized. Avni is also moving off jobs accounts per Nick.</t>
        </is>
      </c>
      <c r="E75" s="2" t="inlineStr"/>
    </row>
    <row r="76">
      <c r="A76" s="2" t="inlineStr">
        <is>
          <t>Encore</t>
        </is>
      </c>
      <c r="B76" s="2" t="inlineStr">
        <is>
          <t>No</t>
        </is>
      </c>
      <c r="C76" s="2" t="inlineStr">
        <is>
          <t>Avni Nahar</t>
        </is>
      </c>
      <c r="D76" s="2" t="inlineStr">
        <is>
          <t>There was an account for outreach. Part of the account pool bulk-assigned to Avni in Bedrock on 7/30; no opportunity and no logged movement since. Not discussed on 9/28 call; assume deprioritized. Avni is also moving off jobs accounts per Nick.</t>
        </is>
      </c>
      <c r="E76" s="2" t="inlineStr"/>
    </row>
    <row r="77">
      <c r="A77" s="2" t="inlineStr">
        <is>
          <t>Engage PEO</t>
        </is>
      </c>
      <c r="B77" s="2" t="inlineStr">
        <is>
          <t>No</t>
        </is>
      </c>
      <c r="C77" s="2" t="inlineStr">
        <is>
          <t>Avni Nahar</t>
        </is>
      </c>
      <c r="D77" s="2" t="inlineStr">
        <is>
          <t>There was an account for outreach. Part of the account pool bulk-assigned to Avni in Bedrock on 7/30; no opportunity and no logged movement since. Not discussed on 9/28 call; assume deprioritized. Avni is also moving off jobs accounts per Nick.</t>
        </is>
      </c>
      <c r="E77" s="2" t="inlineStr"/>
    </row>
    <row r="78">
      <c r="A78" s="2" t="inlineStr">
        <is>
          <t>Equinox</t>
        </is>
      </c>
      <c r="B78" s="2" t="inlineStr">
        <is>
          <t>No</t>
        </is>
      </c>
      <c r="C78" s="2" t="inlineStr">
        <is>
          <t>Avni Nahar</t>
        </is>
      </c>
      <c r="D78" s="2" t="inlineStr">
        <is>
          <t>There was an account for outreach. Part of the account pool bulk-assigned to Avni in Bedrock on 7/30; no opportunity and no logged movement since. Not discussed on 9/28 call; assume deprioritized. Avni is also moving off jobs accounts per Nick.</t>
        </is>
      </c>
      <c r="E78" s="2" t="inlineStr"/>
    </row>
    <row r="79">
      <c r="A79" s="2" t="inlineStr">
        <is>
          <t>Fanatics</t>
        </is>
      </c>
      <c r="B79" s="2" t="inlineStr">
        <is>
          <t>No</t>
        </is>
      </c>
      <c r="C79" s="2" t="inlineStr">
        <is>
          <t>Avni Nahar</t>
        </is>
      </c>
      <c r="D79" s="2" t="inlineStr">
        <is>
          <t>There was an account for outreach. Part of the account pool bulk-assigned to Avni in Bedrock on 7/30; no opportunity and no logged movement since. Not discussed on 9/28 call; assume deprioritized. Avni is also moving off jobs accounts per Nick.</t>
        </is>
      </c>
      <c r="E79" s="2" t="inlineStr"/>
    </row>
    <row r="80">
      <c r="A80" s="2" t="inlineStr">
        <is>
          <t>Five Star Franchising</t>
        </is>
      </c>
      <c r="B80" s="2" t="inlineStr">
        <is>
          <t>No</t>
        </is>
      </c>
      <c r="C80" s="2" t="inlineStr">
        <is>
          <t>Avni Nahar</t>
        </is>
      </c>
      <c r="D80" s="2" t="inlineStr">
        <is>
          <t>There was an account for outreach. Part of the account pool bulk-assigned to Avni in Bedrock on 7/30; no opportunity and no logged movement since. Not discussed on 9/28 call; assume deprioritized. Avni is also moving off jobs accounts per Nick.</t>
        </is>
      </c>
      <c r="E80" s="2" t="inlineStr"/>
    </row>
    <row r="81">
      <c r="A81" s="2" t="inlineStr">
        <is>
          <t>Flex</t>
        </is>
      </c>
      <c r="B81" s="2" t="inlineStr">
        <is>
          <t>No</t>
        </is>
      </c>
      <c r="C81" s="2" t="inlineStr">
        <is>
          <t>Avni Nahar</t>
        </is>
      </c>
      <c r="D81" s="2" t="inlineStr">
        <is>
          <t>There was an account for outreach. Part of the account pool bulk-assigned to Avni in Bedrock on 7/30; no opportunity and no logged movement since. Not discussed on 9/28 call; assume deprioritized. Avni is also moving off jobs accounts per Nick.</t>
        </is>
      </c>
      <c r="E81" s="2" t="inlineStr"/>
    </row>
    <row r="82">
      <c r="A82" s="2" t="inlineStr">
        <is>
          <t>Flexport</t>
        </is>
      </c>
      <c r="B82" s="2" t="inlineStr">
        <is>
          <t>No</t>
        </is>
      </c>
      <c r="C82" s="2" t="inlineStr">
        <is>
          <t>Avni Nahar</t>
        </is>
      </c>
      <c r="D82" s="2" t="inlineStr">
        <is>
          <t>There was an account for outreach. Part of the account pool bulk-assigned to Avni in Bedrock on 7/30; no opportunity and no logged movement since. Not discussed on 9/28 call; assume deprioritized. Avni is also moving off jobs accounts per Nick.</t>
        </is>
      </c>
      <c r="E82" s="2" t="inlineStr"/>
    </row>
    <row r="83">
      <c r="A83" s="2" t="inlineStr">
        <is>
          <t>Focus Financial Partners</t>
        </is>
      </c>
      <c r="B83" s="2" t="inlineStr">
        <is>
          <t>No</t>
        </is>
      </c>
      <c r="C83" s="2" t="inlineStr">
        <is>
          <t>Avni Nahar</t>
        </is>
      </c>
      <c r="D83" s="2" t="inlineStr">
        <is>
          <t>There was an account for outreach. Part of the account pool bulk-assigned to Avni in Bedrock on 7/30; no opportunity and no logged movement since. Not discussed on 9/28 call; assume deprioritized. Avni is also moving off jobs accounts per Nick.</t>
        </is>
      </c>
      <c r="E83" s="2" t="inlineStr"/>
    </row>
    <row r="84">
      <c r="A84" s="2" t="inlineStr">
        <is>
          <t>Galileo</t>
        </is>
      </c>
      <c r="B84" s="2" t="inlineStr">
        <is>
          <t>No</t>
        </is>
      </c>
      <c r="C84" s="2" t="inlineStr">
        <is>
          <t>Avni Nahar</t>
        </is>
      </c>
      <c r="D84" s="2" t="inlineStr">
        <is>
          <t>There was an account for outreach. Part of the account pool bulk-assigned to Avni in Bedrock on 7/30; no opportunity and no logged movement since. Not discussed on 9/28 call; assume deprioritized. Avni is also moving off jobs accounts per Nick.</t>
        </is>
      </c>
      <c r="E84" s="2" t="inlineStr"/>
    </row>
    <row r="85">
      <c r="A85" s="2" t="inlineStr">
        <is>
          <t>Garage</t>
        </is>
      </c>
      <c r="B85" s="2" t="inlineStr">
        <is>
          <t>No</t>
        </is>
      </c>
      <c r="C85" s="2" t="inlineStr">
        <is>
          <t>Avni Nahar</t>
        </is>
      </c>
      <c r="D85" s="2" t="inlineStr">
        <is>
          <t>There was an account for outreach. Part of the account pool bulk-assigned to Avni in Bedrock on 7/30; no opportunity and no logged movement since. Not discussed on 9/28 call; assume deprioritized. Avni is also moving off jobs accounts per Nick.</t>
        </is>
      </c>
      <c r="E85" s="2" t="inlineStr"/>
    </row>
    <row r="86">
      <c r="A86" s="2" t="inlineStr">
        <is>
          <t>Garner Health</t>
        </is>
      </c>
      <c r="B86" s="2" t="inlineStr">
        <is>
          <t>No</t>
        </is>
      </c>
      <c r="C86" s="2" t="inlineStr">
        <is>
          <t>Avni Nahar</t>
        </is>
      </c>
      <c r="D86" s="2" t="inlineStr">
        <is>
          <t>There was an account for outreach. Part of the account pool bulk-assigned to Avni in Bedrock on 7/30; no opportunity and no logged movement since. Not discussed on 9/28 call; assume deprioritized. Avni is also moving off jobs accounts per Nick.</t>
        </is>
      </c>
      <c r="E86" s="2" t="inlineStr"/>
    </row>
    <row r="87">
      <c r="A87" s="2" t="inlineStr">
        <is>
          <t>Gerson Lehrman Group</t>
        </is>
      </c>
      <c r="B87" s="2" t="inlineStr">
        <is>
          <t>No</t>
        </is>
      </c>
      <c r="C87" s="2" t="inlineStr">
        <is>
          <t>Avni Nahar</t>
        </is>
      </c>
      <c r="D87" s="2" t="inlineStr">
        <is>
          <t>There was an account for outreach. Part of the account pool bulk-assigned to Avni in Bedrock on 7/30; no opportunity and no logged movement since. Not discussed on 9/28 call; assume deprioritized. Avni is also moving off jobs accounts per Nick.</t>
        </is>
      </c>
      <c r="E87" s="2" t="inlineStr"/>
    </row>
    <row r="88">
      <c r="A88" s="2" t="inlineStr">
        <is>
          <t>GetReal</t>
        </is>
      </c>
      <c r="B88" s="2" t="inlineStr">
        <is>
          <t>No</t>
        </is>
      </c>
      <c r="C88" s="2" t="inlineStr">
        <is>
          <t>Avni Nahar</t>
        </is>
      </c>
      <c r="D88" s="2" t="inlineStr">
        <is>
          <t>There was an account for outreach. Part of the account pool bulk-assigned to Avni in Bedrock on 7/30; no opportunity and no logged movement since. Not discussed on 9/28 call; assume deprioritized. Avni is also moving off jobs accounts per Nick.</t>
        </is>
      </c>
      <c r="E88" s="2" t="inlineStr"/>
    </row>
    <row r="89">
      <c r="A89" s="2" t="inlineStr">
        <is>
          <t>Global Atlantic Financial Group</t>
        </is>
      </c>
      <c r="B89" s="2" t="inlineStr">
        <is>
          <t>No</t>
        </is>
      </c>
      <c r="C89" s="2" t="inlineStr">
        <is>
          <t>Avni Nahar</t>
        </is>
      </c>
      <c r="D89" s="2" t="inlineStr">
        <is>
          <t>There was an account for outreach. Part of the account pool bulk-assigned to Avni in Bedrock on 7/30; no opportunity and no logged movement since. Not discussed on 9/28 call; assume deprioritized. Avni is also moving off jobs accounts per Nick.</t>
        </is>
      </c>
      <c r="E89" s="2" t="inlineStr"/>
    </row>
    <row r="90">
      <c r="A90" s="2" t="inlineStr">
        <is>
          <t>GoHealth Urgent Care</t>
        </is>
      </c>
      <c r="B90" s="2" t="inlineStr">
        <is>
          <t>No</t>
        </is>
      </c>
      <c r="C90" s="2" t="inlineStr">
        <is>
          <t>Avni Nahar</t>
        </is>
      </c>
      <c r="D90" s="2" t="inlineStr">
        <is>
          <t>There was an account for outreach. Part of the account pool bulk-assigned to Avni in Bedrock on 7/30; no opportunity and no logged movement since. Not discussed on 9/28 call; assume deprioritized. Avni is also moving off jobs accounts per Nick.</t>
        </is>
      </c>
      <c r="E90" s="2" t="inlineStr"/>
    </row>
    <row r="91">
      <c r="A91" s="2" t="inlineStr">
        <is>
          <t>Gomboc AI</t>
        </is>
      </c>
      <c r="B91" s="2" t="inlineStr">
        <is>
          <t>No</t>
        </is>
      </c>
      <c r="C91" s="2" t="inlineStr">
        <is>
          <t>Avni Nahar</t>
        </is>
      </c>
      <c r="D91" s="2" t="inlineStr">
        <is>
          <t>There was an account for outreach. Part of the account pool bulk-assigned to Avni in Bedrock on 7/30; no opportunity and no logged movement since. Not discussed on 9/28 call; assume deprioritized. Avni is also moving off jobs accounts per Nick.</t>
        </is>
      </c>
      <c r="E91" s="2" t="inlineStr"/>
    </row>
    <row r="92">
      <c r="A92" s="2" t="inlineStr">
        <is>
          <t>Greenhouse Software</t>
        </is>
      </c>
      <c r="B92" s="2" t="inlineStr">
        <is>
          <t>No</t>
        </is>
      </c>
      <c r="C92" s="2" t="inlineStr">
        <is>
          <t>Avni Nahar</t>
        </is>
      </c>
      <c r="D92" s="2" t="inlineStr">
        <is>
          <t>There was an account for outreach. Part of the account pool bulk-assigned to Avni in Bedrock on 7/30; no opportunity and no logged movement since. Not discussed on 9/28 call; assume deprioritized. Avni is also moving off jobs accounts per Nick.</t>
        </is>
      </c>
      <c r="E92" s="2" t="inlineStr"/>
    </row>
    <row r="93">
      <c r="A93" s="2" t="inlineStr">
        <is>
          <t>Harmony Cares</t>
        </is>
      </c>
      <c r="B93" s="2" t="inlineStr">
        <is>
          <t>No</t>
        </is>
      </c>
      <c r="C93" s="2" t="inlineStr">
        <is>
          <t>Avni Nahar</t>
        </is>
      </c>
      <c r="D93" s="2" t="inlineStr">
        <is>
          <t>There was an account for outreach. Part of the account pool bulk-assigned to Avni in Bedrock on 7/30; no opportunity and no logged movement since. Not discussed on 9/28 call; assume deprioritized. Avni is also moving off jobs accounts per Nick.</t>
        </is>
      </c>
      <c r="E93" s="2" t="inlineStr"/>
    </row>
    <row r="94">
      <c r="A94" s="2" t="inlineStr">
        <is>
          <t>Headway</t>
        </is>
      </c>
      <c r="B94" s="2" t="inlineStr">
        <is>
          <t>No</t>
        </is>
      </c>
      <c r="C94" s="2" t="inlineStr">
        <is>
          <t>Avni Nahar</t>
        </is>
      </c>
      <c r="D94" s="2" t="inlineStr">
        <is>
          <t>There was an account for outreach. Part of the account pool bulk-assigned to Avni in Bedrock on 7/30; no opportunity and no logged movement since. Not discussed on 9/28 call; assume deprioritized. Avni is also moving off jobs accounts per Nick.</t>
        </is>
      </c>
      <c r="E94" s="2" t="inlineStr"/>
    </row>
    <row r="95">
      <c r="A95" s="2" t="inlineStr">
        <is>
          <t>HealthEdge</t>
        </is>
      </c>
      <c r="B95" s="2" t="inlineStr">
        <is>
          <t>No</t>
        </is>
      </c>
      <c r="C95" s="2" t="inlineStr">
        <is>
          <t>Avni Nahar</t>
        </is>
      </c>
      <c r="D95" s="2" t="inlineStr">
        <is>
          <t>There was an account for outreach. Part of the account pool bulk-assigned to Avni in Bedrock on 7/30; no opportunity and no logged movement since. Not discussed on 9/28 call; assume deprioritized. Avni is also moving off jobs accounts per Nick.</t>
        </is>
      </c>
      <c r="E95" s="2" t="inlineStr"/>
    </row>
    <row r="96">
      <c r="A96" s="2" t="inlineStr">
        <is>
          <t>Heva</t>
        </is>
      </c>
      <c r="B96" s="2" t="inlineStr">
        <is>
          <t>No</t>
        </is>
      </c>
      <c r="C96" s="2" t="inlineStr">
        <is>
          <t>Avni Nahar</t>
        </is>
      </c>
      <c r="D96" s="2" t="inlineStr">
        <is>
          <t>There was an account for outreach. Part of the account pool bulk-assigned to Avni in Bedrock on 7/30; no opportunity and no logged movement since. Not discussed on 9/28 call; assume deprioritized. Avni is also moving off jobs accounts per Nick.</t>
        </is>
      </c>
      <c r="E96" s="2" t="inlineStr"/>
    </row>
    <row r="97">
      <c r="A97" s="2" t="inlineStr">
        <is>
          <t>Human Interest</t>
        </is>
      </c>
      <c r="B97" s="2" t="inlineStr">
        <is>
          <t>No</t>
        </is>
      </c>
      <c r="C97" s="2" t="inlineStr">
        <is>
          <t>Avni Nahar</t>
        </is>
      </c>
      <c r="D97" s="2" t="inlineStr">
        <is>
          <t>There was an account for outreach. Part of the account pool bulk-assigned to Avni in Bedrock on 7/30; no opportunity and no logged movement since. Not discussed on 9/28 call; assume deprioritized. Avni is also moving off jobs accounts per Nick.</t>
        </is>
      </c>
      <c r="E97" s="2" t="inlineStr"/>
    </row>
    <row r="98">
      <c r="A98" s="2" t="inlineStr">
        <is>
          <t>Hume AI</t>
        </is>
      </c>
      <c r="B98" s="2" t="inlineStr">
        <is>
          <t>No</t>
        </is>
      </c>
      <c r="C98" s="2" t="inlineStr">
        <is>
          <t>Avni Nahar</t>
        </is>
      </c>
      <c r="D98" s="2" t="inlineStr">
        <is>
          <t>There was an account for outreach. Part of the account pool bulk-assigned to Avni in Bedrock on 7/30; no opportunity and no logged movement since. Not discussed on 9/28 call; assume deprioritized. Avni is also moving off jobs accounts per Nick.</t>
        </is>
      </c>
      <c r="E98" s="2" t="inlineStr"/>
    </row>
    <row r="99">
      <c r="A99" s="2" t="inlineStr">
        <is>
          <t>IGT (International Game Technology)</t>
        </is>
      </c>
      <c r="B99" s="2" t="inlineStr">
        <is>
          <t>No</t>
        </is>
      </c>
      <c r="C99" s="2" t="inlineStr">
        <is>
          <t>Avni Nahar</t>
        </is>
      </c>
      <c r="D99" s="2" t="inlineStr">
        <is>
          <t>There was an account for outreach. Part of the account pool bulk-assigned to Avni in Bedrock on 7/30; no opportunity and no logged movement since. Not discussed on 9/28 call; assume deprioritized. Avni is also moving off jobs accounts per Nick.</t>
        </is>
      </c>
      <c r="E99" s="2" t="inlineStr"/>
    </row>
    <row r="100">
      <c r="A100" s="2" t="inlineStr">
        <is>
          <t>Internet Brands / WebMD</t>
        </is>
      </c>
      <c r="B100" s="2" t="inlineStr">
        <is>
          <t>No</t>
        </is>
      </c>
      <c r="C100" s="2" t="inlineStr">
        <is>
          <t>Avni Nahar</t>
        </is>
      </c>
      <c r="D100" s="2" t="inlineStr">
        <is>
          <t>There was an account for outreach. Part of the account pool bulk-assigned to Avni in Bedrock on 7/30; no opportunity and no logged movement since. Not discussed on 9/28 call; assume deprioritized. Avni is also moving off jobs accounts per Nick.</t>
        </is>
      </c>
      <c r="E100" s="2" t="inlineStr"/>
    </row>
    <row r="101">
      <c r="A101" s="2" t="inlineStr">
        <is>
          <t>Invited (ClubCorp)</t>
        </is>
      </c>
      <c r="B101" s="2" t="inlineStr">
        <is>
          <t>No</t>
        </is>
      </c>
      <c r="C101" s="2" t="inlineStr">
        <is>
          <t>Avni Nahar</t>
        </is>
      </c>
      <c r="D101" s="2" t="inlineStr">
        <is>
          <t>There was an account for outreach. Part of the account pool bulk-assigned to Avni in Bedrock on 7/30; no opportunity and no logged movement since. Not discussed on 9/28 call; assume deprioritized. Avni is also moving off jobs accounts per Nick.</t>
        </is>
      </c>
      <c r="E101" s="2" t="inlineStr"/>
    </row>
    <row r="102">
      <c r="A102" s="2" t="inlineStr">
        <is>
          <t>Janney Montgomery Scott</t>
        </is>
      </c>
      <c r="B102" s="2" t="inlineStr">
        <is>
          <t>No</t>
        </is>
      </c>
      <c r="C102" s="2" t="inlineStr">
        <is>
          <t>Avni Nahar</t>
        </is>
      </c>
      <c r="D102" s="2" t="inlineStr">
        <is>
          <t>There was an account for outreach. Part of the account pool bulk-assigned to Avni in Bedrock on 7/30; no opportunity and no logged movement since. Not discussed on 9/28 call; assume deprioritized. Avni is also moving off jobs accounts per Nick.</t>
        </is>
      </c>
      <c r="E102" s="2" t="inlineStr"/>
    </row>
    <row r="103">
      <c r="A103" s="2" t="inlineStr">
        <is>
          <t>Jeeves</t>
        </is>
      </c>
      <c r="B103" s="2" t="inlineStr">
        <is>
          <t>No</t>
        </is>
      </c>
      <c r="C103" s="2" t="inlineStr">
        <is>
          <t>Avni Nahar</t>
        </is>
      </c>
      <c r="D103" s="2" t="inlineStr">
        <is>
          <t>There was an account for outreach. Part of the account pool bulk-assigned to Avni in Bedrock on 7/30; no opportunity and no logged movement since. Not discussed on 9/28 call; assume deprioritized. Avni is also moving off jobs accounts per Nick.</t>
        </is>
      </c>
      <c r="E103" s="2" t="inlineStr"/>
    </row>
    <row r="104">
      <c r="A104" s="2" t="inlineStr">
        <is>
          <t>Jersey Mike's Subs</t>
        </is>
      </c>
      <c r="B104" s="2" t="inlineStr">
        <is>
          <t>No</t>
        </is>
      </c>
      <c r="C104" s="2" t="inlineStr">
        <is>
          <t>Avni Nahar</t>
        </is>
      </c>
      <c r="D104" s="2" t="inlineStr">
        <is>
          <t>There was an account for outreach. Part of the account pool bulk-assigned to Avni in Bedrock on 7/30; no opportunity and no logged movement since. Not discussed on 9/28 call; assume deprioritized. Avni is also moving off jobs accounts per Nick.</t>
        </is>
      </c>
      <c r="E104" s="2" t="inlineStr"/>
    </row>
    <row r="105">
      <c r="A105" s="2" t="inlineStr">
        <is>
          <t>Kangaroo Health</t>
        </is>
      </c>
      <c r="B105" s="2" t="inlineStr">
        <is>
          <t>No</t>
        </is>
      </c>
      <c r="C105" s="2" t="inlineStr">
        <is>
          <t>Avni Nahar</t>
        </is>
      </c>
      <c r="D105" s="2" t="inlineStr">
        <is>
          <t>There was an account for outreach. Part of the account pool bulk-assigned to Avni in Bedrock on 7/30; no opportunity and no logged movement since. Not discussed on 9/28 call; assume deprioritized. Avni is also moving off jobs accounts per Nick.</t>
        </is>
      </c>
      <c r="E105" s="2" t="inlineStr"/>
    </row>
    <row r="106">
      <c r="A106" s="2" t="inlineStr">
        <is>
          <t>KidStrong</t>
        </is>
      </c>
      <c r="B106" s="2" t="inlineStr">
        <is>
          <t>No</t>
        </is>
      </c>
      <c r="C106" s="2" t="inlineStr">
        <is>
          <t>Avni Nahar</t>
        </is>
      </c>
      <c r="D106" s="2" t="inlineStr">
        <is>
          <t>There was an account for outreach. Part of the account pool bulk-assigned to Avni in Bedrock on 7/30; no opportunity and no logged movement since. Not discussed on 9/28 call; assume deprioritized. Avni is also moving off jobs accounts per Nick.</t>
        </is>
      </c>
      <c r="E106" s="2" t="inlineStr"/>
    </row>
    <row r="107">
      <c r="A107" s="2" t="inlineStr">
        <is>
          <t>Kinetic</t>
        </is>
      </c>
      <c r="B107" s="2" t="inlineStr">
        <is>
          <t>No</t>
        </is>
      </c>
      <c r="C107" s="2" t="inlineStr">
        <is>
          <t>Avni Nahar</t>
        </is>
      </c>
      <c r="D107" s="2" t="inlineStr">
        <is>
          <t>There was an account for outreach. Part of the account pool bulk-assigned to Avni in Bedrock on 7/30; no opportunity and no logged movement since. Not discussed on 9/28 call; assume deprioritized. Avni is also moving off jobs accounts per Nick.</t>
        </is>
      </c>
      <c r="E107" s="2" t="inlineStr"/>
    </row>
    <row r="108">
      <c r="A108" s="2" t="inlineStr">
        <is>
          <t>KUDO</t>
        </is>
      </c>
      <c r="B108" s="2" t="inlineStr">
        <is>
          <t>No</t>
        </is>
      </c>
      <c r="C108" s="2" t="inlineStr">
        <is>
          <t>Avni Nahar</t>
        </is>
      </c>
      <c r="D108" s="2" t="inlineStr">
        <is>
          <t>There was an account for outreach. Part of the account pool bulk-assigned to Avni in Bedrock on 7/30; no opportunity and no logged movement since. Not discussed on 9/28 call; assume deprioritized. Avni is also moving off jobs accounts per Nick.</t>
        </is>
      </c>
      <c r="E108" s="2" t="inlineStr"/>
    </row>
    <row r="109">
      <c r="A109" s="2" t="inlineStr">
        <is>
          <t>LetsGetChecked</t>
        </is>
      </c>
      <c r="B109" s="2" t="inlineStr">
        <is>
          <t>No</t>
        </is>
      </c>
      <c r="C109" s="2" t="inlineStr">
        <is>
          <t>Avni Nahar</t>
        </is>
      </c>
      <c r="D109" s="2" t="inlineStr">
        <is>
          <t>There was an account for outreach. Part of the account pool bulk-assigned to Avni in Bedrock on 7/30; no opportunity and no logged movement since. Not discussed on 9/28 call; assume deprioritized. Avni is also moving off jobs accounts per Nick.</t>
        </is>
      </c>
      <c r="E109" s="2" t="inlineStr"/>
    </row>
    <row r="110">
      <c r="A110" s="2" t="inlineStr">
        <is>
          <t>LifeStance Health</t>
        </is>
      </c>
      <c r="B110" s="2" t="inlineStr">
        <is>
          <t>No</t>
        </is>
      </c>
      <c r="C110" s="2" t="inlineStr">
        <is>
          <t>Avni Nahar</t>
        </is>
      </c>
      <c r="D110" s="2" t="inlineStr">
        <is>
          <t>There was an account for outreach. Part of the account pool bulk-assigned to Avni in Bedrock on 7/30; no opportunity and no logged movement since. Not discussed on 9/28 call; assume deprioritized. Avni is also moving off jobs accounts per Nick.</t>
        </is>
      </c>
      <c r="E110" s="2" t="inlineStr"/>
    </row>
    <row r="111">
      <c r="A111" s="2" t="inlineStr">
        <is>
          <t>Life Time</t>
        </is>
      </c>
      <c r="B111" s="2" t="inlineStr">
        <is>
          <t>No</t>
        </is>
      </c>
      <c r="C111" s="2" t="inlineStr">
        <is>
          <t>Avni Nahar</t>
        </is>
      </c>
      <c r="D111" s="2" t="inlineStr">
        <is>
          <t>There was an account for outreach. Part of the account pool bulk-assigned to Avni in Bedrock on 7/30; no opportunity and no logged movement since. Not discussed on 9/28 call; assume deprioritized. Avni is also moving off jobs accounts per Nick.</t>
        </is>
      </c>
      <c r="E111" s="2" t="inlineStr"/>
    </row>
    <row r="112">
      <c r="A112" s="2" t="inlineStr">
        <is>
          <t>Liftoff</t>
        </is>
      </c>
      <c r="B112" s="2" t="inlineStr">
        <is>
          <t>No</t>
        </is>
      </c>
      <c r="C112" s="2" t="inlineStr">
        <is>
          <t>Avni Nahar</t>
        </is>
      </c>
      <c r="D112" s="2" t="inlineStr">
        <is>
          <t>There was an account for outreach. Part of the account pool bulk-assigned to Avni in Bedrock on 7/30; no opportunity and no logged movement since. Not discussed on 9/28 call; assume deprioritized. Avni is also moving off jobs accounts per Nick.</t>
        </is>
      </c>
      <c r="E112" s="2" t="inlineStr"/>
    </row>
    <row r="113">
      <c r="A113" s="2" t="inlineStr">
        <is>
          <t>Lili</t>
        </is>
      </c>
      <c r="B113" s="2" t="inlineStr">
        <is>
          <t>No</t>
        </is>
      </c>
      <c r="C113" s="2" t="inlineStr">
        <is>
          <t>Avni Nahar</t>
        </is>
      </c>
      <c r="D113" s="2" t="inlineStr">
        <is>
          <t>There was an account for outreach. Part of the account pool bulk-assigned to Avni in Bedrock on 7/30; no opportunity and no logged movement since. Not discussed on 9/28 call; assume deprioritized. Avni is also moving off jobs accounts per Nick.</t>
        </is>
      </c>
      <c r="E113" s="2" t="inlineStr"/>
    </row>
    <row r="114">
      <c r="A114" s="2" t="inlineStr">
        <is>
          <t>Marathon Health</t>
        </is>
      </c>
      <c r="B114" s="2" t="inlineStr">
        <is>
          <t>No</t>
        </is>
      </c>
      <c r="C114" s="2" t="inlineStr">
        <is>
          <t>Avni Nahar</t>
        </is>
      </c>
      <c r="D114" s="2" t="inlineStr">
        <is>
          <t>There was an account for outreach. Part of the account pool bulk-assigned to Avni in Bedrock on 7/30; no opportunity and no logged movement since. Not discussed on 9/28 call; assume deprioritized. Avni is also moving off jobs accounts per Nick.</t>
        </is>
      </c>
      <c r="E114" s="2" t="inlineStr"/>
    </row>
    <row r="115">
      <c r="A115" s="2" t="inlineStr">
        <is>
          <t>MarketCast Group</t>
        </is>
      </c>
      <c r="B115" s="2" t="inlineStr">
        <is>
          <t>No</t>
        </is>
      </c>
      <c r="C115" s="2" t="inlineStr">
        <is>
          <t>Avni Nahar</t>
        </is>
      </c>
      <c r="D115" s="2" t="inlineStr">
        <is>
          <t>There was an account for outreach. Part of the account pool bulk-assigned to Avni in Bedrock on 7/30; no opportunity and no logged movement since. Not discussed on 9/28 call; assume deprioritized. Avni is also moving off jobs accounts per Nick.</t>
        </is>
      </c>
      <c r="E115" s="2" t="inlineStr"/>
    </row>
    <row r="116">
      <c r="A116" s="2" t="inlineStr">
        <is>
          <t>MultiPlan (Claritev)</t>
        </is>
      </c>
      <c r="B116" s="2" t="inlineStr">
        <is>
          <t>No</t>
        </is>
      </c>
      <c r="C116" s="2" t="inlineStr">
        <is>
          <t>Avni Nahar</t>
        </is>
      </c>
      <c r="D116" s="2" t="inlineStr">
        <is>
          <t>There was an account for outreach. Part of the account pool bulk-assigned to Avni in Bedrock on 7/30; no opportunity and no logged movement since. Not discussed on 9/28 call; assume deprioritized. Avni is also moving off jobs accounts per Nick.</t>
        </is>
      </c>
      <c r="E116" s="2" t="inlineStr"/>
    </row>
    <row r="117">
      <c r="A117" s="2" t="inlineStr">
        <is>
          <t>Nasdaq</t>
        </is>
      </c>
      <c r="B117" s="2" t="inlineStr">
        <is>
          <t>No</t>
        </is>
      </c>
      <c r="C117" s="2" t="inlineStr">
        <is>
          <t>Avni Nahar</t>
        </is>
      </c>
      <c r="D117" s="2" t="inlineStr">
        <is>
          <t>There was an account for outreach. Part of the account pool bulk-assigned to Avni in Bedrock on 7/30; no opportunity and no logged movement since. Not discussed on 9/28 call; assume deprioritized. Avni is also moving off jobs accounts per Nick.</t>
        </is>
      </c>
      <c r="E117" s="2" t="inlineStr"/>
    </row>
    <row r="118">
      <c r="A118" s="2" t="inlineStr">
        <is>
          <t>Nielsen</t>
        </is>
      </c>
      <c r="B118" s="2" t="inlineStr">
        <is>
          <t>No</t>
        </is>
      </c>
      <c r="C118" s="2" t="inlineStr">
        <is>
          <t>Avni Nahar</t>
        </is>
      </c>
      <c r="D118" s="2" t="inlineStr">
        <is>
          <t>There was an account for outreach. Part of the account pool bulk-assigned to Avni in Bedrock on 7/30; no opportunity and no logged movement since. Not discussed on 9/28 call; assume deprioritized. Avni is also moving off jobs accounts per Nick.</t>
        </is>
      </c>
      <c r="E118" s="2" t="inlineStr"/>
    </row>
    <row r="119">
      <c r="A119" s="2" t="inlineStr">
        <is>
          <t>Nomad Health</t>
        </is>
      </c>
      <c r="B119" s="2" t="inlineStr">
        <is>
          <t>No</t>
        </is>
      </c>
      <c r="C119" s="2" t="inlineStr">
        <is>
          <t>Avni Nahar</t>
        </is>
      </c>
      <c r="D119" s="2" t="inlineStr">
        <is>
          <t>There was an account for outreach. Part of the account pool bulk-assigned to Avni in Bedrock on 7/30; no opportunity and no logged movement since. Not discussed on 9/28 call; assume deprioritized. Avni is also moving off jobs accounts per Nick.</t>
        </is>
      </c>
      <c r="E119" s="2" t="inlineStr"/>
    </row>
    <row r="120">
      <c r="A120" s="2" t="inlineStr">
        <is>
          <t>Notion</t>
        </is>
      </c>
      <c r="B120" s="2" t="inlineStr">
        <is>
          <t>No</t>
        </is>
      </c>
      <c r="C120" s="2" t="inlineStr">
        <is>
          <t>Avni Nahar</t>
        </is>
      </c>
      <c r="D120" s="2" t="inlineStr">
        <is>
          <t>There was an account for outreach. Part of the account pool bulk-assigned to Avni in Bedrock on 7/30; no opportunity and no logged movement since. Not discussed on 9/28 call; assume deprioritized. Avni is also moving off jobs accounts per Nick.</t>
        </is>
      </c>
      <c r="E120" s="2" t="inlineStr"/>
    </row>
    <row r="121">
      <c r="A121" s="2" t="inlineStr">
        <is>
          <t>Nourish</t>
        </is>
      </c>
      <c r="B121" s="2" t="inlineStr">
        <is>
          <t>No</t>
        </is>
      </c>
      <c r="C121" s="2" t="inlineStr">
        <is>
          <t>Avni Nahar</t>
        </is>
      </c>
      <c r="D121" s="2" t="inlineStr">
        <is>
          <t>There was an account for outreach. Part of the account pool bulk-assigned to Avni in Bedrock on 7/30; no opportunity and no logged movement since. Not discussed on 9/28 call; assume deprioritized. Avni is also moving off jobs accounts per Nick.</t>
        </is>
      </c>
      <c r="E121" s="2" t="inlineStr"/>
    </row>
    <row r="122">
      <c r="A122" s="2" t="inlineStr">
        <is>
          <t>Novolex</t>
        </is>
      </c>
      <c r="B122" s="2" t="inlineStr">
        <is>
          <t>No</t>
        </is>
      </c>
      <c r="C122" s="2" t="inlineStr">
        <is>
          <t>Avni Nahar</t>
        </is>
      </c>
      <c r="D122" s="2" t="inlineStr">
        <is>
          <t>There was an account for outreach. Part of the account pool bulk-assigned to Avni in Bedrock on 7/30; no opportunity and no logged movement since. Not discussed on 9/28 call; assume deprioritized. Avni is also moving off jobs accounts per Nick.</t>
        </is>
      </c>
      <c r="E122" s="2" t="inlineStr"/>
    </row>
    <row r="123">
      <c r="A123" s="2" t="inlineStr">
        <is>
          <t>Oak View Group</t>
        </is>
      </c>
      <c r="B123" s="2" t="inlineStr">
        <is>
          <t>No</t>
        </is>
      </c>
      <c r="C123" s="2" t="inlineStr">
        <is>
          <t>Avni Nahar</t>
        </is>
      </c>
      <c r="D123" s="2" t="inlineStr">
        <is>
          <t>There was an account for outreach. Part of the account pool bulk-assigned to Avni in Bedrock on 7/30; no opportunity and no logged movement since. Not discussed on 9/28 call; assume deprioritized. Avni is also moving off jobs accounts per Nick.</t>
        </is>
      </c>
      <c r="E123" s="2" t="inlineStr"/>
    </row>
    <row r="124">
      <c r="A124" s="2" t="inlineStr">
        <is>
          <t>OpenFortune</t>
        </is>
      </c>
      <c r="B124" s="2" t="inlineStr">
        <is>
          <t>No</t>
        </is>
      </c>
      <c r="C124" s="2" t="inlineStr">
        <is>
          <t>Avni Nahar</t>
        </is>
      </c>
      <c r="D124" s="2" t="inlineStr">
        <is>
          <t>There was an account for outreach. Part of the account pool bulk-assigned to Avni in Bedrock on 7/30; no opportunity and no logged movement since. Not discussed on 9/28 call; assume deprioritized. Avni is also moving off jobs accounts per Nick.</t>
        </is>
      </c>
      <c r="E124" s="2" t="inlineStr"/>
    </row>
    <row r="125">
      <c r="A125" s="2" t="inlineStr">
        <is>
          <t>OpenSea</t>
        </is>
      </c>
      <c r="B125" s="2" t="inlineStr">
        <is>
          <t>No</t>
        </is>
      </c>
      <c r="C125" s="2" t="inlineStr">
        <is>
          <t>Avni Nahar</t>
        </is>
      </c>
      <c r="D125" s="2" t="inlineStr">
        <is>
          <t>There was an account for outreach. Part of the account pool bulk-assigned to Avni in Bedrock on 7/30; no opportunity and no logged movement since. Not discussed on 9/28 call; assume deprioritized. Avni is also moving off jobs accounts per Nick.</t>
        </is>
      </c>
      <c r="E125" s="2" t="inlineStr"/>
    </row>
    <row r="126">
      <c r="A126" s="2" t="inlineStr">
        <is>
          <t>Optiv</t>
        </is>
      </c>
      <c r="B126" s="2" t="inlineStr">
        <is>
          <t>No</t>
        </is>
      </c>
      <c r="C126" s="2" t="inlineStr">
        <is>
          <t>Avni Nahar</t>
        </is>
      </c>
      <c r="D126" s="2" t="inlineStr">
        <is>
          <t>There was an account for outreach. Part of the account pool bulk-assigned to Avni in Bedrock on 7/30; no opportunity and no logged movement since. Not discussed on 9/28 call; assume deprioritized. Avni is also moving off jobs accounts per Nick.</t>
        </is>
      </c>
      <c r="E126" s="2" t="inlineStr"/>
    </row>
    <row r="127">
      <c r="A127" s="2" t="inlineStr">
        <is>
          <t>Oula</t>
        </is>
      </c>
      <c r="B127" s="2" t="inlineStr">
        <is>
          <t>No</t>
        </is>
      </c>
      <c r="C127" s="2" t="inlineStr">
        <is>
          <t>Avni Nahar</t>
        </is>
      </c>
      <c r="D127" s="2" t="inlineStr">
        <is>
          <t>There was an account for outreach. Part of the account pool bulk-assigned to Avni in Bedrock on 7/30; no opportunity and no logged movement since. Not discussed on 9/28 call; assume deprioritized. Avni is also moving off jobs accounts per Nick.</t>
        </is>
      </c>
      <c r="E127" s="2" t="inlineStr"/>
    </row>
    <row r="128">
      <c r="A128" s="2" t="inlineStr">
        <is>
          <t>Parts Authority</t>
        </is>
      </c>
      <c r="B128" s="2" t="inlineStr">
        <is>
          <t>No</t>
        </is>
      </c>
      <c r="C128" s="2" t="inlineStr">
        <is>
          <t>Avni Nahar</t>
        </is>
      </c>
      <c r="D128" s="2" t="inlineStr">
        <is>
          <t>There was an account for outreach. Part of the account pool bulk-assigned to Avni in Bedrock on 7/30; no opportunity and no logged movement since. Not discussed on 9/28 call; assume deprioritized. Avni is also moving off jobs accounts per Nick.</t>
        </is>
      </c>
      <c r="E128" s="2" t="inlineStr"/>
    </row>
    <row r="129">
      <c r="A129" s="2" t="inlineStr">
        <is>
          <t>Pilot</t>
        </is>
      </c>
      <c r="B129" s="2" t="inlineStr">
        <is>
          <t>No</t>
        </is>
      </c>
      <c r="C129" s="2" t="inlineStr">
        <is>
          <t>Avni Nahar</t>
        </is>
      </c>
      <c r="D129" s="2" t="inlineStr">
        <is>
          <t>There was an account for outreach. Part of the account pool bulk-assigned to Avni in Bedrock on 7/30; no opportunity and no logged movement since. Not discussed on 9/28 call; assume deprioritized. Avni is also moving off jobs accounts per Nick.</t>
        </is>
      </c>
      <c r="E129" s="2" t="inlineStr"/>
    </row>
    <row r="130">
      <c r="A130" s="2" t="inlineStr">
        <is>
          <t>Pirtek</t>
        </is>
      </c>
      <c r="B130" s="2" t="inlineStr">
        <is>
          <t>No</t>
        </is>
      </c>
      <c r="C130" s="2" t="inlineStr">
        <is>
          <t>Avni Nahar</t>
        </is>
      </c>
      <c r="D130" s="2" t="inlineStr">
        <is>
          <t>There was an account for outreach. Part of the account pool bulk-assigned to Avni in Bedrock on 7/30; no opportunity and no logged movement since. Not discussed on 9/28 call; assume deprioritized. Avni is also moving off jobs accounts per Nick.</t>
        </is>
      </c>
      <c r="E130" s="2" t="inlineStr"/>
    </row>
    <row r="131">
      <c r="A131" s="2" t="inlineStr">
        <is>
          <t>Princeton Medspa Partners</t>
        </is>
      </c>
      <c r="B131" s="2" t="inlineStr">
        <is>
          <t>No</t>
        </is>
      </c>
      <c r="C131" s="2" t="inlineStr">
        <is>
          <t>Avni Nahar</t>
        </is>
      </c>
      <c r="D131" s="2" t="inlineStr">
        <is>
          <t>There was an account for outreach. Part of the account pool bulk-assigned to Avni in Bedrock on 7/30; no opportunity and no logged movement since. Not discussed on 9/28 call; assume deprioritized. Avni is also moving off jobs accounts per Nick.</t>
        </is>
      </c>
      <c r="E131" s="2" t="inlineStr"/>
    </row>
    <row r="132">
      <c r="A132" s="2" t="inlineStr">
        <is>
          <t>Pronexis</t>
        </is>
      </c>
      <c r="B132" s="2" t="inlineStr">
        <is>
          <t>No</t>
        </is>
      </c>
      <c r="C132" s="2" t="inlineStr">
        <is>
          <t>Avni Nahar</t>
        </is>
      </c>
      <c r="D132" s="2" t="inlineStr">
        <is>
          <t>There was an account for outreach. Part of the account pool bulk-assigned to Avni in Bedrock on 7/30; no opportunity and no logged movement since. Not discussed on 9/28 call; assume deprioritized. Avni is also moving off jobs accounts per Nick.</t>
        </is>
      </c>
      <c r="E132" s="2" t="inlineStr"/>
    </row>
    <row r="133">
      <c r="A133" s="2" t="inlineStr">
        <is>
          <t>Rackspace Technology</t>
        </is>
      </c>
      <c r="B133" s="2" t="inlineStr">
        <is>
          <t>No</t>
        </is>
      </c>
      <c r="C133" s="2" t="inlineStr">
        <is>
          <t>Avni Nahar</t>
        </is>
      </c>
      <c r="D133" s="2" t="inlineStr">
        <is>
          <t>There was an account for outreach. Part of the account pool bulk-assigned to Avni in Bedrock on 7/30; no opportunity and no logged movement since. Not discussed on 9/28 call; assume deprioritized. Avni is also moving off jobs accounts per Nick.</t>
        </is>
      </c>
      <c r="E133" s="2" t="inlineStr"/>
    </row>
    <row r="134">
      <c r="A134" s="2" t="inlineStr">
        <is>
          <t>Ramp</t>
        </is>
      </c>
      <c r="B134" s="2" t="inlineStr">
        <is>
          <t>No</t>
        </is>
      </c>
      <c r="C134" s="2" t="inlineStr">
        <is>
          <t>Avni Nahar</t>
        </is>
      </c>
      <c r="D134" s="2" t="inlineStr">
        <is>
          <t>There was an account for outreach. Part of the account pool bulk-assigned to Avni in Bedrock on 7/30; no opportunity and no logged movement since. Not discussed on 9/28 call; assume deprioritized. Avni is also moving off jobs accounts per Nick.</t>
        </is>
      </c>
      <c r="E134" s="2" t="inlineStr"/>
    </row>
    <row r="135">
      <c r="A135" s="2" t="inlineStr">
        <is>
          <t>Rentana</t>
        </is>
      </c>
      <c r="B135" s="2" t="inlineStr">
        <is>
          <t>No</t>
        </is>
      </c>
      <c r="C135" s="2" t="inlineStr">
        <is>
          <t>Avni Nahar</t>
        </is>
      </c>
      <c r="D135" s="2" t="inlineStr">
        <is>
          <t>There was an account for outreach. Part of the account pool bulk-assigned to Avni in Bedrock on 7/30; no opportunity and no logged movement since. Not discussed on 9/28 call; assume deprioritized. Avni is also moving off jobs accounts per Nick.</t>
        </is>
      </c>
      <c r="E135" s="2" t="inlineStr"/>
    </row>
    <row r="136">
      <c r="A136" s="2" t="inlineStr">
        <is>
          <t>RESA Power</t>
        </is>
      </c>
      <c r="B136" s="2" t="inlineStr">
        <is>
          <t>No</t>
        </is>
      </c>
      <c r="C136" s="2" t="inlineStr">
        <is>
          <t>Avni Nahar</t>
        </is>
      </c>
      <c r="D136" s="2" t="inlineStr">
        <is>
          <t>There was an account for outreach. Part of the account pool bulk-assigned to Avni in Bedrock on 7/30; no opportunity and no logged movement since. Not discussed on 9/28 call; assume deprioritized. Avni is also moving off jobs accounts per Nick.</t>
        </is>
      </c>
      <c r="E136" s="2" t="inlineStr"/>
    </row>
    <row r="137">
      <c r="A137" s="2" t="inlineStr">
        <is>
          <t>RippleMatch</t>
        </is>
      </c>
      <c r="B137" s="2" t="inlineStr">
        <is>
          <t>No</t>
        </is>
      </c>
      <c r="C137" s="2" t="inlineStr">
        <is>
          <t>Avni Nahar</t>
        </is>
      </c>
      <c r="D137" s="2" t="inlineStr">
        <is>
          <t>There was an account for outreach. Part of the account pool bulk-assigned to Avni in Bedrock on 7/30; no opportunity and no logged movement since. Not discussed on 9/28 call; assume deprioritized. Avni is also moving off jobs accounts per Nick.</t>
        </is>
      </c>
      <c r="E137" s="2" t="inlineStr"/>
    </row>
    <row r="138">
      <c r="A138" s="2" t="inlineStr">
        <is>
          <t>Riveron</t>
        </is>
      </c>
      <c r="B138" s="2" t="inlineStr">
        <is>
          <t>No</t>
        </is>
      </c>
      <c r="C138" s="2" t="inlineStr">
        <is>
          <t>Avni Nahar</t>
        </is>
      </c>
      <c r="D138" s="2" t="inlineStr">
        <is>
          <t>There was an account for outreach. Part of the account pool bulk-assigned to Avni in Bedrock on 7/30; no opportunity and no logged movement since. Not discussed on 9/28 call; assume deprioritized. Avni is also moving off jobs accounts per Nick.</t>
        </is>
      </c>
      <c r="E138" s="2" t="inlineStr"/>
    </row>
    <row r="139">
      <c r="A139" s="2" t="inlineStr">
        <is>
          <t>SecurityScorecard</t>
        </is>
      </c>
      <c r="B139" s="2" t="inlineStr">
        <is>
          <t>No</t>
        </is>
      </c>
      <c r="C139" s="2" t="inlineStr">
        <is>
          <t>Avni Nahar</t>
        </is>
      </c>
      <c r="D139" s="2" t="inlineStr">
        <is>
          <t>There was an account for outreach. Part of the account pool bulk-assigned to Avni in Bedrock on 7/30; no opportunity and no logged movement since. Not discussed on 9/28 call; assume deprioritized. Avni is also moving off jobs accounts per Nick.</t>
        </is>
      </c>
      <c r="E139" s="2" t="inlineStr"/>
    </row>
    <row r="140">
      <c r="A140" s="2" t="inlineStr">
        <is>
          <t>ShopMy</t>
        </is>
      </c>
      <c r="B140" s="2" t="inlineStr">
        <is>
          <t>No</t>
        </is>
      </c>
      <c r="C140" s="2" t="inlineStr">
        <is>
          <t>Avni Nahar</t>
        </is>
      </c>
      <c r="D140" s="2" t="inlineStr">
        <is>
          <t>There was an account for outreach. Part of the account pool bulk-assigned to Avni in Bedrock on 7/30; no opportunity and no logged movement since. Not discussed on 9/28 call; assume deprioritized. Avni is also moving off jobs accounts per Nick.</t>
        </is>
      </c>
      <c r="E140" s="2" t="inlineStr"/>
    </row>
    <row r="141">
      <c r="A141" s="2" t="inlineStr">
        <is>
          <t>Shutterfly</t>
        </is>
      </c>
      <c r="B141" s="2" t="inlineStr">
        <is>
          <t>No</t>
        </is>
      </c>
      <c r="C141" s="2" t="inlineStr">
        <is>
          <t>Avni Nahar</t>
        </is>
      </c>
      <c r="D141" s="2" t="inlineStr">
        <is>
          <t>There was an account for outreach. Part of the account pool bulk-assigned to Avni in Bedrock on 7/30; no opportunity and no logged movement since. Not discussed on 9/28 call; assume deprioritized. Avni is also moving off jobs accounts per Nick.</t>
        </is>
      </c>
      <c r="E141" s="2" t="inlineStr"/>
    </row>
    <row r="142">
      <c r="A142" s="2" t="inlineStr">
        <is>
          <t>Simon &amp; Schuster</t>
        </is>
      </c>
      <c r="B142" s="2" t="inlineStr">
        <is>
          <t>No</t>
        </is>
      </c>
      <c r="C142" s="2" t="inlineStr">
        <is>
          <t>Avni Nahar</t>
        </is>
      </c>
      <c r="D142" s="2" t="inlineStr">
        <is>
          <t>There was an account for outreach. Part of the account pool bulk-assigned to Avni in Bedrock on 7/30; no opportunity and no logged movement since. Not discussed on 9/28 call; assume deprioritized. Avni is also moving off jobs accounts per Nick.</t>
        </is>
      </c>
      <c r="E142" s="2" t="inlineStr"/>
    </row>
    <row r="143">
      <c r="A143" s="2" t="inlineStr">
        <is>
          <t>Simpli.fi</t>
        </is>
      </c>
      <c r="B143" s="2" t="inlineStr">
        <is>
          <t>No</t>
        </is>
      </c>
      <c r="C143" s="2" t="inlineStr">
        <is>
          <t>Avni Nahar</t>
        </is>
      </c>
      <c r="D143" s="2" t="inlineStr">
        <is>
          <t>There was an account for outreach. Part of the account pool bulk-assigned to Avni in Bedrock on 7/30; no opportunity and no logged movement since. Not discussed on 9/28 call; assume deprioritized. Avni is also moving off jobs accounts per Nick.</t>
        </is>
      </c>
      <c r="E143" s="2" t="inlineStr"/>
    </row>
    <row r="144">
      <c r="A144" s="2" t="inlineStr">
        <is>
          <t>Simulmedia</t>
        </is>
      </c>
      <c r="B144" s="2" t="inlineStr">
        <is>
          <t>No</t>
        </is>
      </c>
      <c r="C144" s="2" t="inlineStr">
        <is>
          <t>Avni Nahar</t>
        </is>
      </c>
      <c r="D144" s="2" t="inlineStr">
        <is>
          <t>There was an account for outreach. Part of the account pool bulk-assigned to Avni in Bedrock on 7/30; no opportunity and no logged movement since. Not discussed on 9/28 call; assume deprioritized. Avni is also moving off jobs accounts per Nick.</t>
        </is>
      </c>
      <c r="E144" s="2" t="inlineStr"/>
    </row>
    <row r="145">
      <c r="A145" s="2" t="inlineStr">
        <is>
          <t>Skillshare</t>
        </is>
      </c>
      <c r="B145" s="2" t="inlineStr">
        <is>
          <t>No</t>
        </is>
      </c>
      <c r="C145" s="2" t="inlineStr">
        <is>
          <t>Avni Nahar</t>
        </is>
      </c>
      <c r="D145" s="2" t="inlineStr">
        <is>
          <t>There was an account for outreach. Part of the account pool bulk-assigned to Avni in Bedrock on 7/30; no opportunity and no logged movement since. Not discussed on 9/28 call; assume deprioritized. Avni is also moving off jobs accounts per Nick.</t>
        </is>
      </c>
      <c r="E145" s="2" t="inlineStr"/>
    </row>
    <row r="146">
      <c r="A146" s="2" t="inlineStr">
        <is>
          <t>Slice</t>
        </is>
      </c>
      <c r="B146" s="2" t="inlineStr">
        <is>
          <t>No</t>
        </is>
      </c>
      <c r="C146" s="2" t="inlineStr">
        <is>
          <t>Avni Nahar</t>
        </is>
      </c>
      <c r="D146" s="2" t="inlineStr">
        <is>
          <t>There was an account for outreach. Part of the account pool bulk-assigned to Avni in Bedrock on 7/30; no opportunity and no logged movement since. Not discussed on 9/28 call; assume deprioritized. Avni is also moving off jobs accounts per Nick.</t>
        </is>
      </c>
      <c r="E146" s="2" t="inlineStr"/>
    </row>
    <row r="147">
      <c r="A147" s="2" t="inlineStr">
        <is>
          <t>Slide</t>
        </is>
      </c>
      <c r="B147" s="2" t="inlineStr">
        <is>
          <t>No</t>
        </is>
      </c>
      <c r="C147" s="2" t="inlineStr">
        <is>
          <t>Avni Nahar</t>
        </is>
      </c>
      <c r="D147" s="2" t="inlineStr">
        <is>
          <t>There was an account for outreach. Part of the account pool bulk-assigned to Avni in Bedrock on 7/30; no opportunity and no logged movement since. Not discussed on 9/28 call; assume deprioritized. Avni is also moving off jobs accounts per Nick.</t>
        </is>
      </c>
      <c r="E147" s="2" t="inlineStr"/>
    </row>
    <row r="148">
      <c r="A148" s="2" t="inlineStr">
        <is>
          <t>Spark Advisors</t>
        </is>
      </c>
      <c r="B148" s="2" t="inlineStr">
        <is>
          <t>No</t>
        </is>
      </c>
      <c r="C148" s="2" t="inlineStr">
        <is>
          <t>Avni Nahar</t>
        </is>
      </c>
      <c r="D148" s="2" t="inlineStr">
        <is>
          <t>There was an account for outreach. Part of the account pool bulk-assigned to Avni in Bedrock on 7/30; no opportunity and no logged movement since. Not discussed on 9/28 call; assume deprioritized. Avni is also moving off jobs accounts per Nick.</t>
        </is>
      </c>
      <c r="E148" s="2" t="inlineStr"/>
    </row>
    <row r="149">
      <c r="A149" s="2" t="inlineStr">
        <is>
          <t>SpecterOps</t>
        </is>
      </c>
      <c r="B149" s="2" t="inlineStr">
        <is>
          <t>No</t>
        </is>
      </c>
      <c r="C149" s="2" t="inlineStr">
        <is>
          <t>Avni Nahar</t>
        </is>
      </c>
      <c r="D149" s="2" t="inlineStr">
        <is>
          <t>There was an account for outreach. Part of the account pool bulk-assigned to Avni in Bedrock on 7/30; no opportunity and no logged movement since. Not discussed on 9/28 call; assume deprioritized. Avni is also moving off jobs accounts per Nick.</t>
        </is>
      </c>
      <c r="E149" s="2" t="inlineStr"/>
    </row>
    <row r="150">
      <c r="A150" s="2" t="inlineStr">
        <is>
          <t>Spire Orthopedic Partners</t>
        </is>
      </c>
      <c r="B150" s="2" t="inlineStr">
        <is>
          <t>No</t>
        </is>
      </c>
      <c r="C150" s="2" t="inlineStr">
        <is>
          <t>Avni Nahar</t>
        </is>
      </c>
      <c r="D150" s="2" t="inlineStr">
        <is>
          <t>There was an account for outreach. Part of the account pool bulk-assigned to Avni in Bedrock on 7/30; no opportunity and no logged movement since. Not discussed on 9/28 call; assume deprioritized. Avni is also moving off jobs accounts per Nick.</t>
        </is>
      </c>
      <c r="E150" s="2" t="inlineStr"/>
    </row>
    <row r="151">
      <c r="A151" s="2" t="inlineStr">
        <is>
          <t>Splice</t>
        </is>
      </c>
      <c r="B151" s="2" t="inlineStr">
        <is>
          <t>No</t>
        </is>
      </c>
      <c r="C151" s="2" t="inlineStr">
        <is>
          <t>Avni Nahar</t>
        </is>
      </c>
      <c r="D151" s="2" t="inlineStr">
        <is>
          <t>There was an account for outreach. Part of the account pool bulk-assigned to Avni in Bedrock on 7/30; no opportunity and no logged movement since. Not discussed on 9/28 call; assume deprioritized. Avni is also moving off jobs accounts per Nick.</t>
        </is>
      </c>
      <c r="E151" s="2" t="inlineStr"/>
    </row>
    <row r="152">
      <c r="A152" s="2" t="inlineStr">
        <is>
          <t>Stash</t>
        </is>
      </c>
      <c r="B152" s="2" t="inlineStr">
        <is>
          <t>No</t>
        </is>
      </c>
      <c r="C152" s="2" t="inlineStr">
        <is>
          <t>Avni Nahar</t>
        </is>
      </c>
      <c r="D152" s="2" t="inlineStr">
        <is>
          <t>There was an account for outreach. Part of the account pool bulk-assigned to Avni in Bedrock on 7/30; no opportunity and no logged movement since. Not discussed on 9/28 call; assume deprioritized. Avni is also moving off jobs accounts per Nick.</t>
        </is>
      </c>
      <c r="E152" s="2" t="inlineStr"/>
    </row>
    <row r="153">
      <c r="A153" s="2" t="inlineStr">
        <is>
          <t>Stellar Health</t>
        </is>
      </c>
      <c r="B153" s="2" t="inlineStr">
        <is>
          <t>No</t>
        </is>
      </c>
      <c r="C153" s="2" t="inlineStr">
        <is>
          <t>Avni Nahar</t>
        </is>
      </c>
      <c r="D153" s="2" t="inlineStr">
        <is>
          <t>There was an account for outreach. Part of the account pool bulk-assigned to Avni in Bedrock on 7/30; no opportunity and no logged movement since. Not discussed on 9/28 call; assume deprioritized. Avni is also moving off jobs accounts per Nick.</t>
        </is>
      </c>
      <c r="E153" s="2" t="inlineStr"/>
    </row>
    <row r="154">
      <c r="A154" s="2" t="inlineStr">
        <is>
          <t>Stepful</t>
        </is>
      </c>
      <c r="B154" s="2" t="inlineStr">
        <is>
          <t>No</t>
        </is>
      </c>
      <c r="C154" s="2" t="inlineStr">
        <is>
          <t>Avni Nahar</t>
        </is>
      </c>
      <c r="D154" s="2" t="inlineStr">
        <is>
          <t>There was an account for outreach. Part of the account pool bulk-assigned to Avni in Bedrock on 7/30; no opportunity and no logged movement since. Not discussed on 9/28 call; assume deprioritized. Avni is also moving off jobs accounts per Nick.</t>
        </is>
      </c>
      <c r="E154" s="2" t="inlineStr"/>
    </row>
    <row r="155">
      <c r="A155" s="2" t="inlineStr">
        <is>
          <t>Teleskope</t>
        </is>
      </c>
      <c r="B155" s="2" t="inlineStr">
        <is>
          <t>No</t>
        </is>
      </c>
      <c r="C155" s="2" t="inlineStr">
        <is>
          <t>Avni Nahar</t>
        </is>
      </c>
      <c r="D155" s="2" t="inlineStr">
        <is>
          <t>There was an account for outreach. Part of the account pool bulk-assigned to Avni in Bedrock on 7/30; no opportunity and no logged movement since. Not discussed on 9/28 call; assume deprioritized. Avni is also moving off jobs accounts per Nick.</t>
        </is>
      </c>
      <c r="E155" s="2" t="inlineStr"/>
    </row>
    <row r="156">
      <c r="A156" s="2" t="inlineStr">
        <is>
          <t>The Folklore</t>
        </is>
      </c>
      <c r="B156" s="2" t="inlineStr">
        <is>
          <t>No</t>
        </is>
      </c>
      <c r="C156" s="2" t="inlineStr">
        <is>
          <t>Avni Nahar</t>
        </is>
      </c>
      <c r="D156" s="2" t="inlineStr">
        <is>
          <t>There was an account for outreach. Part of the account pool bulk-assigned to Avni in Bedrock on 7/30; no opportunity and no logged movement since. Not discussed on 9/28 call; assume deprioritized. Avni is also moving off jobs accounts per Nick.</t>
        </is>
      </c>
      <c r="E156" s="2" t="inlineStr"/>
    </row>
    <row r="157">
      <c r="A157" s="2" t="inlineStr">
        <is>
          <t>Thyme Care</t>
        </is>
      </c>
      <c r="B157" s="2" t="inlineStr">
        <is>
          <t>No</t>
        </is>
      </c>
      <c r="C157" s="2" t="inlineStr">
        <is>
          <t>Avni Nahar</t>
        </is>
      </c>
      <c r="D157" s="2" t="inlineStr">
        <is>
          <t>There was an account for outreach. Part of the account pool bulk-assigned to Avni in Bedrock on 7/30; no opportunity and no logged movement since. Not discussed on 9/28 call; assume deprioritized. Avni is also moving off jobs accounts per Nick.</t>
        </is>
      </c>
      <c r="E157" s="2" t="inlineStr"/>
    </row>
    <row r="158">
      <c r="A158" s="2" t="inlineStr">
        <is>
          <t>Toast</t>
        </is>
      </c>
      <c r="B158" s="2" t="inlineStr">
        <is>
          <t>No</t>
        </is>
      </c>
      <c r="C158" s="2" t="inlineStr">
        <is>
          <t>Avni Nahar</t>
        </is>
      </c>
      <c r="D158" s="2" t="inlineStr">
        <is>
          <t>There was an account for outreach. Part of the account pool bulk-assigned to Avni in Bedrock on 7/30; no opportunity and no logged movement since. Not discussed on 9/28 call; assume deprioritized. Avni is also moving off jobs accounts per Nick.</t>
        </is>
      </c>
      <c r="E158" s="2" t="inlineStr"/>
    </row>
    <row r="159">
      <c r="A159" s="2" t="inlineStr">
        <is>
          <t>Trinity Life Sciences</t>
        </is>
      </c>
      <c r="B159" s="2" t="inlineStr">
        <is>
          <t>No</t>
        </is>
      </c>
      <c r="C159" s="2" t="inlineStr">
        <is>
          <t>Avni Nahar</t>
        </is>
      </c>
      <c r="D159" s="2" t="inlineStr">
        <is>
          <t>There was an account for outreach. Part of the account pool bulk-assigned to Avni in Bedrock on 7/30; no opportunity and no logged movement since. Not discussed on 9/28 call; assume deprioritized. Avni is also moving off jobs accounts per Nick.</t>
        </is>
      </c>
      <c r="E159" s="2" t="inlineStr"/>
    </row>
    <row r="160">
      <c r="A160" s="2" t="inlineStr">
        <is>
          <t>Trumid</t>
        </is>
      </c>
      <c r="B160" s="2" t="inlineStr">
        <is>
          <t>No</t>
        </is>
      </c>
      <c r="C160" s="2" t="inlineStr">
        <is>
          <t>Avni Nahar</t>
        </is>
      </c>
      <c r="D160" s="2" t="inlineStr">
        <is>
          <t>There was an account for outreach. Part of the account pool bulk-assigned to Avni in Bedrock on 7/30; no opportunity and no logged movement since. Not discussed on 9/28 call; assume deprioritized. Avni is also moving off jobs accounts per Nick.</t>
        </is>
      </c>
      <c r="E160" s="2" t="inlineStr"/>
    </row>
    <row r="161">
      <c r="A161" s="2" t="inlineStr">
        <is>
          <t>UKG (Ultimate Kronos Group)</t>
        </is>
      </c>
      <c r="B161" s="2" t="inlineStr">
        <is>
          <t>No</t>
        </is>
      </c>
      <c r="C161" s="2" t="inlineStr">
        <is>
          <t>Avni Nahar</t>
        </is>
      </c>
      <c r="D161" s="2" t="inlineStr">
        <is>
          <t>There was an account for outreach. Part of the account pool bulk-assigned to Avni in Bedrock on 7/30; no opportunity and no logged movement since. Not discussed on 9/28 call; assume deprioritized. Avni is also moving off jobs accounts per Nick.</t>
        </is>
      </c>
      <c r="E161" s="2" t="inlineStr"/>
    </row>
    <row r="162">
      <c r="A162" s="2" t="inlineStr">
        <is>
          <t>Unified Women's Healthcare</t>
        </is>
      </c>
      <c r="B162" s="2" t="inlineStr">
        <is>
          <t>No</t>
        </is>
      </c>
      <c r="C162" s="2" t="inlineStr">
        <is>
          <t>Avni Nahar</t>
        </is>
      </c>
      <c r="D162" s="2" t="inlineStr">
        <is>
          <t>There was an account for outreach. Part of the account pool bulk-assigned to Avni in Bedrock on 7/30; no opportunity and no logged movement since. Not discussed on 9/28 call; assume deprioritized. Avni is also moving off jobs accounts per Nick.</t>
        </is>
      </c>
      <c r="E162" s="2" t="inlineStr"/>
    </row>
    <row r="163">
      <c r="A163" s="2" t="inlineStr">
        <is>
          <t>Uniswap Labs</t>
        </is>
      </c>
      <c r="B163" s="2" t="inlineStr">
        <is>
          <t>No</t>
        </is>
      </c>
      <c r="C163" s="2" t="inlineStr">
        <is>
          <t>Avni Nahar</t>
        </is>
      </c>
      <c r="D163" s="2" t="inlineStr">
        <is>
          <t>There was an account for outreach. Part of the account pool bulk-assigned to Avni in Bedrock on 7/30; no opportunity and no logged movement since. Not discussed on 9/28 call; assume deprioritized. Avni is also moving off jobs accounts per Nick.</t>
        </is>
      </c>
      <c r="E163" s="2" t="inlineStr"/>
    </row>
    <row r="164">
      <c r="A164" s="2" t="inlineStr">
        <is>
          <t>Unite Us</t>
        </is>
      </c>
      <c r="B164" s="2" t="inlineStr">
        <is>
          <t>No</t>
        </is>
      </c>
      <c r="C164" s="2" t="inlineStr">
        <is>
          <t>Avni Nahar</t>
        </is>
      </c>
      <c r="D164" s="2" t="inlineStr">
        <is>
          <t>There was an account for outreach. Part of the account pool bulk-assigned to Avni in Bedrock on 7/30; no opportunity and no logged movement since. Not discussed on 9/28 call; assume deprioritized. Avni is also moving off jobs accounts per Nick.</t>
        </is>
      </c>
      <c r="E164" s="2" t="inlineStr"/>
    </row>
    <row r="165">
      <c r="A165" s="2" t="inlineStr">
        <is>
          <t>Univar Solutions</t>
        </is>
      </c>
      <c r="B165" s="2" t="inlineStr">
        <is>
          <t>No</t>
        </is>
      </c>
      <c r="C165" s="2" t="inlineStr">
        <is>
          <t>Avni Nahar</t>
        </is>
      </c>
      <c r="D165" s="2" t="inlineStr">
        <is>
          <t>There was an account for outreach. Part of the account pool bulk-assigned to Avni in Bedrock on 7/30; no opportunity and no logged movement since. Not discussed on 9/28 call; assume deprioritized. Avni is also moving off jobs accounts per Nick.</t>
        </is>
      </c>
      <c r="E165" s="2" t="inlineStr"/>
    </row>
    <row r="166">
      <c r="A166" s="2" t="inlineStr">
        <is>
          <t>USI Insurance Services</t>
        </is>
      </c>
      <c r="B166" s="2" t="inlineStr">
        <is>
          <t>No</t>
        </is>
      </c>
      <c r="C166" s="2" t="inlineStr">
        <is>
          <t>Avni Nahar</t>
        </is>
      </c>
      <c r="D166" s="2" t="inlineStr">
        <is>
          <t>There was an account for outreach. Part of the account pool bulk-assigned to Avni in Bedrock on 7/30; no opportunity and no logged movement since. Not discussed on 9/28 call; assume deprioritized. Avni is also moving off jobs accounts per Nick.</t>
        </is>
      </c>
      <c r="E166" s="2" t="inlineStr"/>
    </row>
    <row r="167">
      <c r="A167" s="2" t="inlineStr">
        <is>
          <t>Valon</t>
        </is>
      </c>
      <c r="B167" s="2" t="inlineStr">
        <is>
          <t>No</t>
        </is>
      </c>
      <c r="C167" s="2" t="inlineStr">
        <is>
          <t>Avni Nahar</t>
        </is>
      </c>
      <c r="D167" s="2" t="inlineStr">
        <is>
          <t>There was an account for outreach. Part of the account pool bulk-assigned to Avni in Bedrock on 7/30; no opportunity and no logged movement since. Not discussed on 9/28 call; assume deprioritized. Avni is also moving off jobs accounts per Nick.</t>
        </is>
      </c>
      <c r="E167" s="2" t="inlineStr"/>
    </row>
    <row r="168">
      <c r="A168" s="2" t="inlineStr">
        <is>
          <t>Vestwell</t>
        </is>
      </c>
      <c r="B168" s="2" t="inlineStr">
        <is>
          <t>No</t>
        </is>
      </c>
      <c r="C168" s="2" t="inlineStr">
        <is>
          <t>Avni Nahar</t>
        </is>
      </c>
      <c r="D168" s="2" t="inlineStr">
        <is>
          <t>There was an account for outreach. Part of the account pool bulk-assigned to Avni in Bedrock on 7/30; no opportunity and no logged movement since. Not discussed on 9/28 call; assume deprioritized. Avni is also moving off jobs accounts per Nick.</t>
        </is>
      </c>
      <c r="E168" s="2" t="inlineStr"/>
    </row>
    <row r="169">
      <c r="A169" s="2" t="inlineStr">
        <is>
          <t>Vetcove</t>
        </is>
      </c>
      <c r="B169" s="2" t="inlineStr">
        <is>
          <t>No</t>
        </is>
      </c>
      <c r="C169" s="2" t="inlineStr">
        <is>
          <t>Avni Nahar</t>
        </is>
      </c>
      <c r="D169" s="2" t="inlineStr">
        <is>
          <t>There was an account for outreach. Part of the account pool bulk-assigned to Avni in Bedrock on 7/30; no opportunity and no logged movement since. Not discussed on 9/28 call; assume deprioritized. Avni is also moving off jobs accounts per Nick.</t>
        </is>
      </c>
      <c r="E169" s="2" t="inlineStr"/>
    </row>
    <row r="170">
      <c r="A170" s="2" t="inlineStr">
        <is>
          <t>Viam</t>
        </is>
      </c>
      <c r="B170" s="2" t="inlineStr">
        <is>
          <t>No</t>
        </is>
      </c>
      <c r="C170" s="2" t="inlineStr">
        <is>
          <t>Avni Nahar</t>
        </is>
      </c>
      <c r="D170" s="2" t="inlineStr">
        <is>
          <t>There was an account for outreach. Part of the account pool bulk-assigned to Avni in Bedrock on 7/30; no opportunity and no logged movement since. Not discussed on 9/28 call; assume deprioritized. Avni is also moving off jobs accounts per Nick.</t>
        </is>
      </c>
      <c r="E170" s="2" t="inlineStr"/>
    </row>
    <row r="171">
      <c r="A171" s="2" t="inlineStr">
        <is>
          <t>Whatnot</t>
        </is>
      </c>
      <c r="B171" s="2" t="inlineStr">
        <is>
          <t>No</t>
        </is>
      </c>
      <c r="C171" s="2" t="inlineStr">
        <is>
          <t>Avni Nahar</t>
        </is>
      </c>
      <c r="D171" s="2" t="inlineStr">
        <is>
          <t>There was an account for outreach. Part of the account pool bulk-assigned to Avni in Bedrock on 7/30; no opportunity and no logged movement since. Not discussed on 9/28 call; assume deprioritized. Avni is also moving off jobs accounts per Nick.</t>
        </is>
      </c>
      <c r="E171" s="2" t="inlineStr"/>
    </row>
    <row r="172">
      <c r="A172" s="2" t="inlineStr">
        <is>
          <t>Wheels</t>
        </is>
      </c>
      <c r="B172" s="2" t="inlineStr">
        <is>
          <t>No</t>
        </is>
      </c>
      <c r="C172" s="2" t="inlineStr">
        <is>
          <t>Avni Nahar</t>
        </is>
      </c>
      <c r="D172" s="2" t="inlineStr">
        <is>
          <t>There was an account for outreach. Part of the account pool bulk-assigned to Avni in Bedrock on 7/30; no opportunity and no logged movement since. Not discussed on 9/28 call; assume deprioritized. Avni is also moving off jobs accounts per Nick.</t>
        </is>
      </c>
      <c r="E172" s="2" t="inlineStr"/>
    </row>
    <row r="173">
      <c r="A173" s="2" t="inlineStr">
        <is>
          <t>WitnessAI</t>
        </is>
      </c>
      <c r="B173" s="2" t="inlineStr">
        <is>
          <t>No</t>
        </is>
      </c>
      <c r="C173" s="2" t="inlineStr">
        <is>
          <t>Avni Nahar</t>
        </is>
      </c>
      <c r="D173" s="2" t="inlineStr">
        <is>
          <t>There was an account for outreach. Part of the account pool bulk-assigned to Avni in Bedrock on 7/30; no opportunity and no logged movement since. Not discussed on 9/28 call; assume deprioritized. Avni is also moving off jobs accounts per Nick.</t>
        </is>
      </c>
      <c r="E173" s="2" t="inlineStr"/>
    </row>
    <row r="174">
      <c r="A174" s="2" t="inlineStr">
        <is>
          <t>Yahoo</t>
        </is>
      </c>
      <c r="B174" s="2" t="inlineStr">
        <is>
          <t>No</t>
        </is>
      </c>
      <c r="C174" s="2" t="inlineStr">
        <is>
          <t>Avni Nahar</t>
        </is>
      </c>
      <c r="D174" s="2" t="inlineStr">
        <is>
          <t>There was an account for outreach. Part of the account pool bulk-assigned to Avni in Bedrock on 7/30; no opportunity and no logged movement since. Not discussed on 9/28 call; assume deprioritized. Avni is also moving off jobs accounts per Nick.</t>
        </is>
      </c>
      <c r="E174" s="2" t="inlineStr"/>
    </row>
    <row r="175">
      <c r="A175" s="2" t="inlineStr">
        <is>
          <t>Yieldmo</t>
        </is>
      </c>
      <c r="B175" s="2" t="inlineStr">
        <is>
          <t>No</t>
        </is>
      </c>
      <c r="C175" s="2" t="inlineStr">
        <is>
          <t>Avni Nahar</t>
        </is>
      </c>
      <c r="D175" s="2" t="inlineStr">
        <is>
          <t>There was an account for outreach. Part of the account pool bulk-assigned to Avni in Bedrock on 7/30; no opportunity and no logged movement since. Not discussed on 9/28 call; assume deprioritized. Avni is also moving off jobs accounts per Nick.</t>
        </is>
      </c>
      <c r="E175" s="2" t="inlineStr"/>
    </row>
    <row r="176">
      <c r="A176" s="2" t="inlineStr">
        <is>
          <t>Zenoti</t>
        </is>
      </c>
      <c r="B176" s="2" t="inlineStr">
        <is>
          <t>No</t>
        </is>
      </c>
      <c r="C176" s="2" t="inlineStr">
        <is>
          <t>Avni Nahar</t>
        </is>
      </c>
      <c r="D176" s="2" t="inlineStr">
        <is>
          <t>There was an account for outreach. Part of the account pool bulk-assigned to Avni in Bedrock on 7/30; no opportunity and no logged movement since. Not discussed on 9/28 call; assume deprioritized. Avni is also moving off jobs accounts per Nick.</t>
        </is>
      </c>
      <c r="E176" s="2" t="inlineStr"/>
    </row>
    <row r="177">
      <c r="A177" s="2" t="inlineStr">
        <is>
          <t>Zeteo Health</t>
        </is>
      </c>
      <c r="B177" s="2" t="inlineStr">
        <is>
          <t>No</t>
        </is>
      </c>
      <c r="C177" s="2" t="inlineStr">
        <is>
          <t>Avni Nahar</t>
        </is>
      </c>
      <c r="D177" s="2" t="inlineStr">
        <is>
          <t>There was an account for outreach. Part of the account pool bulk-assigned to Avni in Bedrock on 7/30; no opportunity and no logged movement since. Not discussed on 9/28 call; assume deprioritized. Avni is also moving off jobs accounts per Nick.</t>
        </is>
      </c>
      <c r="E177" s="2" t="inlineStr"/>
    </row>
    <row r="178">
      <c r="A178" s="2" t="inlineStr">
        <is>
          <t>Zip Security</t>
        </is>
      </c>
      <c r="B178" s="2" t="inlineStr">
        <is>
          <t>No</t>
        </is>
      </c>
      <c r="C178" s="2" t="inlineStr">
        <is>
          <t>Avni Nahar</t>
        </is>
      </c>
      <c r="D178" s="2" t="inlineStr">
        <is>
          <t>There was an account for outreach. Part of the account pool bulk-assigned to Avni in Bedrock on 7/30; no opportunity and no logged movement since. Not discussed on 9/28 call; assume deprioritized. Avni is also moving off jobs accounts per Nick.</t>
        </is>
      </c>
      <c r="E178" s="2" t="inlineStr"/>
    </row>
    <row r="179">
      <c r="A179" s="2" t="inlineStr">
        <is>
          <t>Zola</t>
        </is>
      </c>
      <c r="B179" s="2" t="inlineStr">
        <is>
          <t>No</t>
        </is>
      </c>
      <c r="C179" s="2" t="inlineStr">
        <is>
          <t>Avni Nahar</t>
        </is>
      </c>
      <c r="D179" s="2" t="inlineStr">
        <is>
          <t>There was an account for outreach. Part of the account pool bulk-assigned to Avni in Bedrock on 7/30; no opportunity and no logged movement since. Not discussed on 9/28 call; assume deprioritized. Avni is also moving off jobs accounts per Nick.</t>
        </is>
      </c>
      <c r="E179" s="2" t="inlineStr"/>
    </row>
  </sheetData>
  <dataValidations count="1">
    <dataValidation sqref="B2:B17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28" customWidth="1" min="3" max="3"/>
    <col width="38" customWidth="1" min="4" max="4"/>
    <col width="70" customWidth="1" min="5" max="5"/>
    <col width="60" customWidth="1" min="6" max="6"/>
  </cols>
  <sheetData>
    <row r="1">
      <c r="A1" s="4" t="inlineStr">
        <is>
          <t>#</t>
        </is>
      </c>
      <c r="B1" s="4" t="inlineStr">
        <is>
          <t>Priority</t>
        </is>
      </c>
      <c r="C1" s="4" t="inlineStr">
        <is>
          <t>Row / Area</t>
        </is>
      </c>
      <c r="D1" s="4" t="inlineStr">
        <is>
          <t>What the sheet says</t>
        </is>
      </c>
      <c r="E1" s="4" t="inlineStr">
        <is>
          <t>What the call (or Bedrock) says</t>
        </is>
      </c>
      <c r="F1" s="4" t="inlineStr">
        <is>
          <t>Suggested fix</t>
        </is>
      </c>
    </row>
    <row r="2">
      <c r="A2" s="5" t="n">
        <v>1</v>
      </c>
      <c r="B2" s="5" t="inlineStr">
        <is>
          <t>High</t>
        </is>
      </c>
      <c r="C2" s="5" t="inlineStr">
        <is>
          <t>Citizens, JP Morgan: Projected Close Date</t>
        </is>
      </c>
      <c r="D2" s="5" t="inlineStr">
        <is>
          <t>Blank</t>
        </is>
      </c>
      <c r="E2" s="5" t="inlineStr">
        <is>
          <t>JPMC: 'upcoming JPMC in November'. Citizens: 'timeline is really tight'. Blank dates mean 9 of the jobs (5 + 4) sit outside every formula.</t>
        </is>
      </c>
      <c r="F2" s="5" t="inlineStr">
        <is>
          <t>Add a close date (e.g., Nov 30, 2026 for both). Q4 2026 pipeline moves from 19 to 28.</t>
        </is>
      </c>
    </row>
    <row r="3">
      <c r="A3" s="5" t="n">
        <v>2</v>
      </c>
      <c r="B3" s="5" t="inlineStr">
        <is>
          <t>High</t>
        </is>
      </c>
      <c r="C3" s="5" t="inlineStr">
        <is>
          <t>Citizens + JP Morgan sizing</t>
        </is>
      </c>
      <c r="D3" s="5" t="inlineStr">
        <is>
          <t>Citizens 5, JPM 4 avg (3-5) plus 1-2 conversions in notes: 9 to 11 jobs</t>
        </is>
      </c>
      <c r="E3" s="5" t="inlineStr">
        <is>
          <t>Near the end: 'of the 35, we have, let's say, 5 jobs through that pipeline? ... Up to 5.' Some Citizens roles may go to Fellows, not builders. Bedrock: Citizens 5 roles (Medium); JPMC New AI/ML Cohort 3 roles + Current Cohort conversion 2 roles (High) + Sr. Assoc AI PMO 1 (ask submitted).</t>
        </is>
      </c>
      <c r="F3" s="5" t="inlineStr">
        <is>
          <t>Align on one number before this goes to Nick. The 5 vs 9-11 gap on two accounts decides whether you're close to 35 or far from it. Suggest showing Citizens and JPM at a conservative number and noting the upside.</t>
        </is>
      </c>
    </row>
    <row r="4">
      <c r="A4" s="5" t="n">
        <v>3</v>
      </c>
      <c r="B4" s="5" t="inlineStr">
        <is>
          <t>High</t>
        </is>
      </c>
      <c r="C4" s="5" t="inlineStr">
        <is>
          <t>Citi</t>
        </is>
      </c>
      <c r="D4" s="5" t="inlineStr">
        <is>
          <t>Listed on Priority Oppty Set</t>
        </is>
      </c>
      <c r="E4" s="5" t="inlineStr">
        <is>
          <t>Gone silent; running its own Citi bootcamp; not using DEI hiring partners. 'Cities should be on the list and we should cross them out.'</t>
        </is>
      </c>
      <c r="F4" s="5" t="inlineStr">
        <is>
          <t>Move to Deprioritized (done in the Deprioritized tab).</t>
        </is>
      </c>
    </row>
    <row r="5">
      <c r="A5" s="5" t="n">
        <v>4</v>
      </c>
      <c r="B5" s="5" t="inlineStr">
        <is>
          <t>High</t>
        </is>
      </c>
      <c r="C5" s="5" t="inlineStr">
        <is>
          <t>Damon's pipeline</t>
        </is>
      </c>
      <c r="D5" s="5" t="inlineStr">
        <is>
          <t>No Damon rows on the Priority Oppty Set</t>
        </is>
      </c>
      <c r="E5" s="5" t="inlineStr">
        <is>
          <t>Kwame: 'Avni and Damon were focusing on ... Nick's set.' Bedrock: Damon owns 20 open opps, 6 at Active Opportunity Confirmed (Stripe and Agility Recovery rated High).</t>
        </is>
      </c>
      <c r="F5" s="5" t="inlineStr">
        <is>
          <t>Before deprioritizing, spend 10 minutes with Damon on the 6 confirmed opps. Flagged yellow in the Deprioritized tab.</t>
        </is>
      </c>
    </row>
    <row r="6">
      <c r="A6" s="2" t="n">
        <v>5</v>
      </c>
      <c r="B6" s="2" t="inlineStr">
        <is>
          <t>Medium</t>
        </is>
      </c>
      <c r="C6" s="2" t="inlineStr">
        <is>
          <t>Blackstone</t>
        </is>
      </c>
      <c r="D6" s="2" t="inlineStr">
        <is>
          <t>1-2 est., 1 avg</t>
        </is>
      </c>
      <c r="E6" s="2" t="inlineStr">
        <is>
          <t>'Blackstone could be one, two, three. There are 4 positions. I'd say 2 to 3.' Bedrock shows 4 role-level opps.</t>
        </is>
      </c>
      <c r="F6" s="2" t="inlineStr">
        <is>
          <t>Est. 2-3, avg 2 (still Low likelihood; open market). Add a close date.</t>
        </is>
      </c>
    </row>
    <row r="7">
      <c r="A7" s="2" t="n">
        <v>6</v>
      </c>
      <c r="B7" s="2" t="inlineStr">
        <is>
          <t>Medium</t>
        </is>
      </c>
      <c r="C7" s="2" t="inlineStr">
        <is>
          <t>AirBNB</t>
        </is>
      </c>
      <c r="D7" s="2" t="inlineStr">
        <is>
          <t>No jobs</t>
        </is>
      </c>
      <c r="E7" s="2" t="inlineStr">
        <is>
          <t>'I did activate the account for the open market, one position.' Bedrock: Builder Submitted, Low.</t>
        </is>
      </c>
      <c r="F7" s="2" t="inlineStr">
        <is>
          <t>Est. 1, avg 1, likelihood Low.</t>
        </is>
      </c>
    </row>
    <row r="8">
      <c r="A8" s="2" t="n">
        <v>7</v>
      </c>
      <c r="B8" s="2" t="inlineStr">
        <is>
          <t>Medium</t>
        </is>
      </c>
      <c r="C8" s="2" t="inlineStr">
        <is>
          <t>Apollo, HP</t>
        </is>
      </c>
      <c r="D8" s="2" t="inlineStr">
        <is>
          <t>Missing</t>
        </is>
      </c>
      <c r="E8" s="2" t="inlineStr">
        <is>
          <t>Devika: 'I keep doing Apollo and HP, those are slower... you just keep working on them.' HP gave the portfolio intro via capstone. Bedrock: Apollo open opp, Medium.</t>
        </is>
      </c>
      <c r="F8" s="2" t="inlineStr">
        <is>
          <t>Add both as rows with no job count and a longer close date, or decide to deprioritize explicitly.</t>
        </is>
      </c>
    </row>
    <row r="9">
      <c r="A9" s="2" t="n">
        <v>8</v>
      </c>
      <c r="B9" s="2" t="inlineStr">
        <is>
          <t>Medium</t>
        </is>
      </c>
      <c r="C9" s="2" t="inlineStr">
        <is>
          <t>Gutter/ Switchboard</t>
        </is>
      </c>
      <c r="D9" s="2" t="inlineStr">
        <is>
          <t>1 job</t>
        </is>
      </c>
      <c r="E9" s="2" t="inlineStr">
        <is>
          <t>'Gutter introductions... Switchboard' and 'we have 2 from Gutter Capital.' Bedrock: Switchboard 1 role + Faraday (via Gutter) 1 role.</t>
        </is>
      </c>
      <c r="F9" s="2" t="inlineStr">
        <is>
          <t>Consider Gutter (Switchboard + Faraday) = 2, or add Faraday as its own row.</t>
        </is>
      </c>
    </row>
    <row r="10">
      <c r="A10" s="2" t="n">
        <v>9</v>
      </c>
      <c r="B10" s="2" t="inlineStr">
        <is>
          <t>Medium</t>
        </is>
      </c>
      <c r="C10" s="2" t="inlineStr">
        <is>
          <t>JP Morgan avg</t>
        </is>
      </c>
      <c r="D10" s="2" t="inlineStr">
        <is>
          <t>4 (excludes 1-2 conversion)</t>
        </is>
      </c>
      <c r="E10" s="2" t="inlineStr">
        <is>
          <t>Devika: 'there's the new JP Morgan and then the existing intern-to-conversion, which is one to two.'</t>
        </is>
      </c>
      <c r="F10" s="2" t="inlineStr">
        <is>
          <t>Split into two rows (JPM new cohort, JPM conversion) so the formula counts both, or confirm the 4 already includes them.</t>
        </is>
      </c>
    </row>
    <row r="11">
      <c r="A11" s="2" t="n">
        <v>10</v>
      </c>
      <c r="B11" s="2" t="inlineStr">
        <is>
          <t>Medium</t>
        </is>
      </c>
      <c r="C11" s="2" t="inlineStr">
        <is>
          <t>Owners</t>
        </is>
      </c>
      <c r="D11" s="2" t="inlineStr">
        <is>
          <t>Updated Owner blank for all 11 Avni rows</t>
        </is>
      </c>
      <c r="E11" s="2" t="inlineStr">
        <is>
          <t>'Nick wants her focused on other stuff... we need to divvy up ... who owns them.'</t>
        </is>
      </c>
      <c r="F11" s="2" t="inlineStr">
        <is>
          <t>Assign an Updated Owner before sending to Nick; he will ask 'who is on the phone with them'.</t>
        </is>
      </c>
    </row>
    <row r="12">
      <c r="A12" s="2" t="n">
        <v>11</v>
      </c>
      <c r="B12" s="2" t="inlineStr">
        <is>
          <t>Low</t>
        </is>
      </c>
      <c r="C12" s="2" t="inlineStr">
        <is>
          <t>Hispanic Federation</t>
        </is>
      </c>
      <c r="D12" s="2" t="inlineStr">
        <is>
          <t>Owner Avni; 1-2 jobs</t>
        </is>
      </c>
      <c r="E12" s="2" t="inlineStr">
        <is>
          <t>Bedrock: owner Devika, 2 roles, Medium.</t>
        </is>
      </c>
      <c r="F12" s="2" t="inlineStr">
        <is>
          <t>Align owner in sheet or Bedrock.</t>
        </is>
      </c>
    </row>
    <row r="13">
      <c r="A13" s="2" t="n">
        <v>12</v>
      </c>
      <c r="B13" s="2" t="inlineStr">
        <is>
          <t>Low</t>
        </is>
      </c>
      <c r="C13" s="2" t="inlineStr">
        <is>
          <t>Queens Community House</t>
        </is>
      </c>
      <c r="D13" s="2" t="inlineStr">
        <is>
          <t>Close Dec 25, 2026</t>
        </is>
      </c>
      <c r="E13" s="2" t="inlineStr">
        <is>
          <t>Bedrock target close date: Sep 25, 2026 (already passed).</t>
        </is>
      </c>
      <c r="F13" s="2" t="inlineStr">
        <is>
          <t>Update Bedrock to match the sheet.</t>
        </is>
      </c>
    </row>
    <row r="14">
      <c r="A14" s="2" t="n">
        <v>13</v>
      </c>
      <c r="B14" s="2" t="inlineStr">
        <is>
          <t>Low</t>
        </is>
      </c>
      <c r="C14" s="2" t="inlineStr">
        <is>
          <t>LongLake</t>
        </is>
      </c>
      <c r="D14" s="2" t="inlineStr">
        <is>
          <t>1 job, Kwame</t>
        </is>
      </c>
      <c r="E14" s="2" t="inlineStr">
        <is>
          <t>No LongLake account or opportunity exists in Bedrock.</t>
        </is>
      </c>
      <c r="F14" s="2" t="inlineStr">
        <is>
          <t>Create the opp in Bedrock so the dashboard ties to the sheet.</t>
        </is>
      </c>
    </row>
    <row r="15">
      <c r="A15" s="2" t="n">
        <v>14</v>
      </c>
      <c r="B15" s="2" t="inlineStr">
        <is>
          <t>Low</t>
        </is>
      </c>
      <c r="C15" s="2" t="inlineStr">
        <is>
          <t>Est. Jobs Q4 2026</t>
        </is>
      </c>
      <c r="D15" s="2" t="inlineStr">
        <is>
          <t>25 (hardcoded)</t>
        </is>
      </c>
      <c r="E15" s="2" t="inlineStr">
        <is>
          <t>Formula on today's rows returns 19 (only rows with a Q4 date count). 10 jobs are undated.</t>
        </is>
      </c>
      <c r="F15" s="2" t="inlineStr">
        <is>
          <t>Use the formula tab. Also note the probability-weighted view (~8.6 in Q4 at 80/50/20%) to pressure-test the 35.</t>
        </is>
      </c>
    </row>
    <row r="16">
      <c r="A16" s="2" t="n">
        <v>15</v>
      </c>
      <c r="B16" s="2" t="inlineStr">
        <is>
          <t>Low</t>
        </is>
      </c>
      <c r="C16" s="2" t="inlineStr">
        <is>
          <t>Part-time vs full-time</t>
        </is>
      </c>
      <c r="D16" s="2" t="inlineStr">
        <is>
          <t>SMB Deployments, Capstone Conversions, Nonprofit Deployments counted as jobs</t>
        </is>
      </c>
      <c r="E16" s="2" t="inlineStr">
        <is>
          <t>Call: dashboard 'currently pulls everything... we can just do full time.' Operation 35 is full-time placements.</t>
        </is>
      </c>
      <c r="F16" s="2" t="inlineStr">
        <is>
          <t>Confirm these rows are full-time conversions, not contracts or capstones.</t>
        </is>
      </c>
    </row>
    <row r="17">
      <c r="A17" s="2" t="n">
        <v>16</v>
      </c>
      <c r="B17" s="2" t="inlineStr">
        <is>
          <t>Info</t>
        </is>
      </c>
      <c r="C17" s="2" t="inlineStr">
        <is>
          <t>Correct as captured</t>
        </is>
      </c>
      <c r="D17" s="2" t="inlineStr">
        <is>
          <t>RXR 1, Pharma 1 (High), Murmuration 1 (Low, open market), Newmark 1 (Low, open market), Goldman Q1 2027, RenPhil (pilot, need more info), Capital One (no bite yet), Morgan Stanley, Girls Who Code (activate via incoming CEO), Accenture (Low, intro offered)</t>
        </is>
      </c>
      <c r="E17" s="2" t="inlineStr">
        <is>
          <t>Matches the call.</t>
        </is>
      </c>
      <c r="F17" s="2" t="inlineStr">
        <is>
          <t>No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4" customWidth="1" min="1" max="1"/>
    <col width="14" customWidth="1" min="2" max="2"/>
    <col width="70" customWidth="1" min="3" max="3"/>
    <col width="120" customWidth="1" min="4" max="4"/>
  </cols>
  <sheetData>
    <row r="1">
      <c r="A1" s="6" t="inlineStr">
        <is>
          <t>Estimated Jobs in Pipeline</t>
        </is>
      </c>
      <c r="C1" s="6" t="inlineStr">
        <is>
          <t>How it works</t>
        </is>
      </c>
      <c r="D1" s="6" t="inlineStr">
        <is>
          <t>Paste-ready formula text for your original tab (points at '9/28_Priority Oppty Set')</t>
        </is>
      </c>
    </row>
    <row r="2">
      <c r="A2" t="inlineStr">
        <is>
          <t>Q4 2026</t>
        </is>
      </c>
      <c r="B2">
        <f>SUMIFS('Priority Oppty Set'!$E$2:$E$200,'Priority Oppty Set'!$F$2:$F$200,"&gt;="&amp;$B$18,'Priority Oppty Set'!$F$2:$F$200,"&lt;="&amp;$B$19)</f>
        <v/>
      </c>
      <c r="C2" s="2" t="inlineStr">
        <is>
          <t>Window: B18 to B19</t>
        </is>
      </c>
      <c r="D2" t="inlineStr">
        <is>
          <t>=SUMIFS('9/28_Priority Oppty Set'!$E$2:$E$200,'9/28_Priority Oppty Set'!$F$2:$F$200,"&gt;="&amp;$B$18,'9/28_Priority Oppty Set'!$F$2:$F$200,"&lt;="&amp;$B$19)</t>
        </is>
      </c>
    </row>
    <row r="3">
      <c r="A3" t="inlineStr">
        <is>
          <t>Q3 2027</t>
        </is>
      </c>
      <c r="B3">
        <f>SUMIFS('Priority Oppty Set'!$E$2:$E$200,'Priority Oppty Set'!$F$2:$F$200,"&gt;="&amp;$B$20,'Priority Oppty Set'!$F$2:$F$200,"&lt;="&amp;$B$21)</f>
        <v/>
      </c>
      <c r="C3" s="2" t="inlineStr">
        <is>
          <t>Window: B20 to B21. Default covers Jan 1 to Sep 30, 2027 (everything after Q4 2026 through end of Q3 2027). Edit B20 if you mean the Jul to Sep quarter only.</t>
        </is>
      </c>
      <c r="D3" t="inlineStr">
        <is>
          <t>=SUMIFS('9/28_Priority Oppty Set'!$E$2:$E$200,'9/28_Priority Oppty Set'!$F$2:$F$200,"&gt;="&amp;$B$20,'9/28_Priority Oppty Set'!$F$2:$F$200,"&lt;="&amp;$B$21)</t>
        </is>
      </c>
    </row>
    <row r="5">
      <c r="A5" s="6" t="inlineStr">
        <is>
          <t>Additional Jobs</t>
        </is>
      </c>
      <c r="C5" s="2" t="inlineStr">
        <is>
          <t>Pipeline minus goal. Negative = jobs still needed (matches your -10 convention).</t>
        </is>
      </c>
    </row>
    <row r="6">
      <c r="A6" t="inlineStr">
        <is>
          <t>Q4 2026</t>
        </is>
      </c>
      <c r="B6">
        <f>B2-$B$14</f>
        <v/>
      </c>
      <c r="C6" s="2" t="inlineStr">
        <is>
          <t>Q4 2026 pipeline vs EOQ4 2026 goal</t>
        </is>
      </c>
      <c r="D6" t="inlineStr">
        <is>
          <t>=B2-$B$14</t>
        </is>
      </c>
    </row>
    <row r="7">
      <c r="A7" t="inlineStr">
        <is>
          <t>Q3 2027</t>
        </is>
      </c>
      <c r="B7">
        <f>(B2+B3)-$B$15</f>
        <v/>
      </c>
      <c r="C7" s="2" t="inlineStr">
        <is>
          <t>Cumulative pipeline (Q4 2026 + 2027 window) vs EOQ3 2027 goal in B15</t>
        </is>
      </c>
      <c r="D7" t="inlineStr">
        <is>
          <t>=(B2+B3)-$B$15</t>
        </is>
      </c>
    </row>
    <row r="9">
      <c r="A9" t="inlineStr">
        <is>
          <t>Undated jobs (no Projected Close Date)</t>
        </is>
      </c>
      <c r="B9">
        <f>SUMIFS('Priority Oppty Set'!$E$2:$E$200,'Priority Oppty Set'!$F$2:$F$200,"")</f>
        <v/>
      </c>
      <c r="C9" s="2" t="inlineStr">
        <is>
          <t>Jobs the two windows above cannot see. Add close dates to pull these in.</t>
        </is>
      </c>
      <c r="D9" t="inlineStr">
        <is>
          <t>=SUMIFS('9/28_Priority Oppty Set'!$E$2:$E$200,'9/28_Priority Oppty Set'!$F$2:$F$200,"")</t>
        </is>
      </c>
    </row>
    <row r="10">
      <c r="A10" t="inlineStr">
        <is>
          <t>Probability-weighted: Q4 2026</t>
        </is>
      </c>
      <c r="B10" s="7">
        <f>SUMIFS('Priority Oppty Set'!$E$2:$E$200,'Priority Oppty Set'!$F$2:$F$200,"&gt;="&amp;$B$18,'Priority Oppty Set'!$F$2:$F$200,"&lt;="&amp;$B$19,'Priority Oppty Set'!$H$2:$H$200,"High")*$B$24+SUMIFS('Priority Oppty Set'!$E$2:$E$200,'Priority Oppty Set'!$F$2:$F$200,"&gt;="&amp;$B$18,'Priority Oppty Set'!$F$2:$F$200,"&lt;="&amp;$B$19,'Priority Oppty Set'!$H$2:$H$200,"Medium")*$B$25+SUMIFS('Priority Oppty Set'!$E$2:$E$200,'Priority Oppty Set'!$F$2:$F$200,"&gt;="&amp;$B$18,'Priority Oppty Set'!$F$2:$F$200,"&lt;="&amp;$B$19,'Priority Oppty Set'!$H$2:$H$200,"Low")*$B$26</f>
        <v/>
      </c>
      <c r="C10" s="2" t="inlineStr">
        <is>
          <t>Avg. Jobs x close probability (B24 to B26). Rows with blank Close Likelihood count as 0.</t>
        </is>
      </c>
      <c r="D10" t="inlineStr">
        <is>
          <t>=SUMIFS('9/28_Priority Oppty Set'!$E$2:$E$200,'9/28_Priority Oppty Set'!$F$2:$F$200,"&gt;="&amp;$B$18,'9/28_Priority Oppty Set'!$F$2:$F$200,"&lt;="&amp;$B$19,'9/28_Priority Oppty Set'!$H$2:$H$200,"High")*$B$24+SUMIFS('9/28_Priority Oppty Set'!$E$2:$E$200,'9/28_Priority Oppty Set'!$F$2:$F$200,"&gt;="&amp;$B$18,'9/28_Priority Oppty Set'!$F$2:$F$200,"&lt;="&amp;$B$19,'9/28_Priority Oppty Set'!$H$2:$H$200,"Medium")*$B$25+SUMIFS('9/28_Priority Oppty Set'!$E$2:$E$200,'9/28_Priority Oppty Set'!$F$2:$F$200,"&gt;="&amp;$B$18,'9/28_Priority Oppty Set'!$F$2:$F$200,"&lt;="&amp;$B$19,'9/28_Priority Oppty Set'!$H$2:$H$200,"Low")*$B$26</t>
        </is>
      </c>
    </row>
    <row r="11">
      <c r="A11" t="inlineStr">
        <is>
          <t>Probability-weighted: Q3 2027</t>
        </is>
      </c>
      <c r="B11" s="7">
        <f>SUMIFS('Priority Oppty Set'!$E$2:$E$200,'Priority Oppty Set'!$F$2:$F$200,"&gt;="&amp;$B$20,'Priority Oppty Set'!$F$2:$F$200,"&lt;="&amp;$B$21,'Priority Oppty Set'!$H$2:$H$200,"High")*$B$24+SUMIFS('Priority Oppty Set'!$E$2:$E$200,'Priority Oppty Set'!$F$2:$F$200,"&gt;="&amp;$B$20,'Priority Oppty Set'!$F$2:$F$200,"&lt;="&amp;$B$21,'Priority Oppty Set'!$H$2:$H$200,"Medium")*$B$25+SUMIFS('Priority Oppty Set'!$E$2:$E$200,'Priority Oppty Set'!$F$2:$F$200,"&gt;="&amp;$B$20,'Priority Oppty Set'!$F$2:$F$200,"&lt;="&amp;$B$21,'Priority Oppty Set'!$H$2:$H$200,"Low")*$B$26</f>
        <v/>
      </c>
      <c r="C11" s="2" t="inlineStr">
        <is>
          <t>Same logic, 2027 window</t>
        </is>
      </c>
      <c r="D11" t="inlineStr">
        <is>
          <t>=SUMIFS('9/28_Priority Oppty Set'!$E$2:$E$200,'9/28_Priority Oppty Set'!$F$2:$F$200,"&gt;="&amp;$B$20,'9/28_Priority Oppty Set'!$F$2:$F$200,"&lt;="&amp;$B$21,'9/28_Priority Oppty Set'!$H$2:$H$200,"High")*$B$24+SUMIFS('9/28_Priority Oppty Set'!$E$2:$E$200,'9/28_Priority Oppty Set'!$F$2:$F$200,"&gt;="&amp;$B$20,'9/28_Priority Oppty Set'!$F$2:$F$200,"&lt;="&amp;$B$21,'9/28_Priority Oppty Set'!$H$2:$H$200,"Medium")*$B$25+SUMIFS('9/28_Priority Oppty Set'!$E$2:$E$200,'9/28_Priority Oppty Set'!$F$2:$F$200,"&gt;="&amp;$B$20,'9/28_Priority Oppty Set'!$F$2:$F$200,"&lt;="&amp;$B$21,'9/28_Priority Oppty Set'!$H$2:$H$200,"Low")*$B$26</t>
        </is>
      </c>
    </row>
    <row r="12">
      <c r="A12" t="inlineStr">
        <is>
          <t>Check: rows with a date but non-date text</t>
        </is>
      </c>
      <c r="B12">
        <f>COUNTA('Priority Oppty Set'!$F$2:$F$200)-COUNT('Priority Oppty Set'!$F$2:$F$200)</f>
        <v/>
      </c>
      <c r="C12" s="2" t="inlineStr">
        <is>
          <t>Should be 0. If not, some close dates are stored as text and SUMIFS will skip them.</t>
        </is>
      </c>
      <c r="D12" t="inlineStr">
        <is>
          <t>=COUNTA('9/28_Priority Oppty Set'!$F$2:$F$200)-COUNT('9/28_Priority Oppty Set'!$F$2:$F$200)</t>
        </is>
      </c>
    </row>
    <row r="13">
      <c r="A13" s="6" t="inlineStr">
        <is>
          <t>Assumptions</t>
        </is>
      </c>
    </row>
    <row r="14">
      <c r="A14" t="inlineStr">
        <is>
          <t>Goal by EOQ4 2026</t>
        </is>
      </c>
      <c r="B14" s="8" t="n">
        <v>35</v>
      </c>
      <c r="C14" s="2" t="inlineStr">
        <is>
          <t>From your sheet</t>
        </is>
      </c>
    </row>
    <row r="15">
      <c r="A15" t="inlineStr">
        <is>
          <t>Goal by EOQ3 2027 (cumulative)</t>
        </is>
      </c>
      <c r="B15">
        <f>B14</f>
        <v/>
      </c>
      <c r="C15" s="2" t="inlineStr">
        <is>
          <t>Placeholder; set the real 2027 target if one exists</t>
        </is>
      </c>
      <c r="D15" t="inlineStr">
        <is>
          <t>=B14</t>
        </is>
      </c>
    </row>
    <row r="17">
      <c r="A17" s="6" t="inlineStr">
        <is>
          <t>Time windows</t>
        </is>
      </c>
    </row>
    <row r="18">
      <c r="A18" t="inlineStr">
        <is>
          <t>Q4 2026 start</t>
        </is>
      </c>
      <c r="B18" s="9" t="n">
        <v>46296</v>
      </c>
    </row>
    <row r="19">
      <c r="A19" t="inlineStr">
        <is>
          <t>Q4 2026 end</t>
        </is>
      </c>
      <c r="B19" s="9" t="n">
        <v>46387</v>
      </c>
    </row>
    <row r="20">
      <c r="A20" t="inlineStr">
        <is>
          <t>Q3 2027 window start</t>
        </is>
      </c>
      <c r="B20" s="9" t="n">
        <v>46388</v>
      </c>
    </row>
    <row r="21">
      <c r="A21" t="inlineStr">
        <is>
          <t>Q3 2027 window end</t>
        </is>
      </c>
      <c r="B21" s="9" t="n">
        <v>46660</v>
      </c>
    </row>
    <row r="23">
      <c r="A23" s="6" t="inlineStr">
        <is>
          <t>Close probability by likelihood (my assumption; edit)</t>
        </is>
      </c>
    </row>
    <row r="24">
      <c r="A24" t="inlineStr">
        <is>
          <t>High</t>
        </is>
      </c>
      <c r="B24" s="10" t="n">
        <v>0.8</v>
      </c>
    </row>
    <row r="25">
      <c r="A25" t="inlineStr">
        <is>
          <t>Medium</t>
        </is>
      </c>
      <c r="B25" s="10" t="n">
        <v>0.5</v>
      </c>
    </row>
    <row r="26">
      <c r="A26" t="inlineStr">
        <is>
          <t>Low</t>
        </is>
      </c>
      <c r="B26" s="10" t="n">
        <v>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20" customWidth="1" min="2" max="2"/>
    <col width="20" customWidth="1" min="3" max="3"/>
    <col width="12" customWidth="1" min="4" max="4"/>
    <col width="10" customWidth="1" min="5" max="5"/>
    <col width="20" customWidth="1" min="6" max="6"/>
    <col width="20" customWidth="1" min="7" max="7"/>
    <col width="14" customWidth="1" min="8" max="8"/>
    <col width="60" customWidth="1" min="9" max="9"/>
  </cols>
  <sheetData>
    <row r="1">
      <c r="A1" s="4" t="inlineStr">
        <is>
          <t>Account</t>
        </is>
      </c>
      <c r="B1" s="4" t="inlineStr">
        <is>
          <t>Historical Owner</t>
        </is>
      </c>
      <c r="C1" s="4" t="inlineStr">
        <is>
          <t>Updated Owner</t>
        </is>
      </c>
      <c r="D1" s="4" t="inlineStr">
        <is>
          <t>Est. # of Jobs</t>
        </is>
      </c>
      <c r="E1" s="4" t="inlineStr">
        <is>
          <t>Avg. Jobs</t>
        </is>
      </c>
      <c r="F1" s="4" t="inlineStr">
        <is>
          <t>Projected Close Date</t>
        </is>
      </c>
      <c r="G1" s="4" t="inlineStr">
        <is>
          <t>Overall Tactic/ Strategy</t>
        </is>
      </c>
      <c r="H1" s="4" t="inlineStr">
        <is>
          <t>Close Likelihood</t>
        </is>
      </c>
      <c r="I1" s="4" t="inlineStr">
        <is>
          <t>Notes/ Comment</t>
        </is>
      </c>
    </row>
    <row r="2">
      <c r="A2" t="inlineStr">
        <is>
          <t>RXR</t>
        </is>
      </c>
      <c r="B2" t="inlineStr">
        <is>
          <t>Devika Gopal Agge</t>
        </is>
      </c>
      <c r="C2" t="inlineStr">
        <is>
          <t>Devika Gopal Agge</t>
        </is>
      </c>
      <c r="D2" t="inlineStr">
        <is>
          <t>1</t>
        </is>
      </c>
      <c r="E2" t="n">
        <v>1</v>
      </c>
      <c r="F2" s="11" t="n">
        <v>46325</v>
      </c>
      <c r="G2" t="inlineStr">
        <is>
          <t>TBD</t>
        </is>
      </c>
      <c r="H2" t="inlineStr">
        <is>
          <t>Medium</t>
        </is>
      </c>
      <c r="I2" t="inlineStr">
        <is>
          <t>Avni managing day to day</t>
        </is>
      </c>
    </row>
    <row r="3">
      <c r="A3" t="inlineStr">
        <is>
          <t>Pharma Logistics</t>
        </is>
      </c>
      <c r="B3" t="inlineStr">
        <is>
          <t>Devika Gopal Agge</t>
        </is>
      </c>
      <c r="C3" t="inlineStr">
        <is>
          <t>Devika Gopal Agge</t>
        </is>
      </c>
      <c r="D3" t="inlineStr">
        <is>
          <t>1</t>
        </is>
      </c>
      <c r="E3" t="n">
        <v>1</v>
      </c>
      <c r="F3" s="11" t="n">
        <v>46325</v>
      </c>
      <c r="G3" t="inlineStr">
        <is>
          <t>TBD</t>
        </is>
      </c>
      <c r="H3" t="inlineStr">
        <is>
          <t>High</t>
        </is>
      </c>
      <c r="I3" t="inlineStr">
        <is>
          <t>Avni managing day to day</t>
        </is>
      </c>
    </row>
    <row r="4">
      <c r="A4" t="inlineStr">
        <is>
          <t>Citizens</t>
        </is>
      </c>
      <c r="B4" t="inlineStr">
        <is>
          <t>Devika Gopal Agge</t>
        </is>
      </c>
      <c r="C4" t="inlineStr">
        <is>
          <t>Devika Gopal Agge</t>
        </is>
      </c>
      <c r="D4" t="inlineStr">
        <is>
          <t>5</t>
        </is>
      </c>
      <c r="E4" t="n">
        <v>5</v>
      </c>
      <c r="G4" t="inlineStr">
        <is>
          <t>TBD</t>
        </is>
      </c>
    </row>
    <row r="5">
      <c r="A5" t="inlineStr">
        <is>
          <t>JP Morgan</t>
        </is>
      </c>
      <c r="B5" t="inlineStr">
        <is>
          <t>Devika Gopal Agge</t>
        </is>
      </c>
      <c r="C5" t="inlineStr">
        <is>
          <t>Devika Gopal Agge</t>
        </is>
      </c>
      <c r="D5" t="inlineStr">
        <is>
          <t>3-5</t>
        </is>
      </c>
      <c r="E5" t="n">
        <v>4</v>
      </c>
      <c r="G5" t="inlineStr">
        <is>
          <t>TBD</t>
        </is>
      </c>
      <c r="I5" t="inlineStr">
        <is>
          <t>Addtl 1-2 conversion</t>
        </is>
      </c>
    </row>
    <row r="6">
      <c r="A6" t="inlineStr">
        <is>
          <t>Gutter/ Switchboard</t>
        </is>
      </c>
      <c r="B6" t="inlineStr">
        <is>
          <t>Devika Gopal Agge</t>
        </is>
      </c>
      <c r="C6" t="inlineStr">
        <is>
          <t>Devika Gopal Agge</t>
        </is>
      </c>
      <c r="D6" t="inlineStr">
        <is>
          <t>1</t>
        </is>
      </c>
      <c r="E6" t="n">
        <v>1</v>
      </c>
      <c r="F6" s="11" t="n">
        <v>46325</v>
      </c>
      <c r="G6" t="inlineStr">
        <is>
          <t>TBD</t>
        </is>
      </c>
      <c r="H6" t="inlineStr">
        <is>
          <t>Low</t>
        </is>
      </c>
      <c r="I6" t="inlineStr">
        <is>
          <t>Avni managing day to day</t>
        </is>
      </c>
    </row>
    <row r="7">
      <c r="A7" t="inlineStr">
        <is>
          <t>Murmuration</t>
        </is>
      </c>
      <c r="B7" t="inlineStr">
        <is>
          <t>Devika Gopal Agge</t>
        </is>
      </c>
      <c r="C7" t="inlineStr">
        <is>
          <t>Devika Gopal Agge</t>
        </is>
      </c>
      <c r="D7" t="inlineStr">
        <is>
          <t>1</t>
        </is>
      </c>
      <c r="E7" t="n">
        <v>1</v>
      </c>
      <c r="F7" s="11" t="n">
        <v>46325</v>
      </c>
      <c r="G7" t="inlineStr">
        <is>
          <t>TBD</t>
        </is>
      </c>
      <c r="H7" t="inlineStr">
        <is>
          <t>Low</t>
        </is>
      </c>
      <c r="I7" t="inlineStr">
        <is>
          <t>Open Market; Avni managing day to day</t>
        </is>
      </c>
    </row>
    <row r="8">
      <c r="A8" t="inlineStr">
        <is>
          <t>Blackstone</t>
        </is>
      </c>
      <c r="B8" t="inlineStr">
        <is>
          <t>Devika Gopal Agge</t>
        </is>
      </c>
      <c r="C8" t="inlineStr">
        <is>
          <t>Devika Gopal Agge</t>
        </is>
      </c>
      <c r="D8" t="inlineStr">
        <is>
          <t>1-2</t>
        </is>
      </c>
      <c r="E8" t="n">
        <v>1</v>
      </c>
      <c r="G8" t="inlineStr">
        <is>
          <t>TBD</t>
        </is>
      </c>
      <c r="H8" t="inlineStr">
        <is>
          <t>Low</t>
        </is>
      </c>
    </row>
    <row r="9">
      <c r="A9" t="inlineStr">
        <is>
          <t>Accenture</t>
        </is>
      </c>
      <c r="B9" t="inlineStr">
        <is>
          <t>Devika Gopal Agge</t>
        </is>
      </c>
      <c r="C9" t="inlineStr">
        <is>
          <t>Devika Gopal Agge</t>
        </is>
      </c>
      <c r="G9" t="inlineStr">
        <is>
          <t>TBD</t>
        </is>
      </c>
      <c r="H9" t="inlineStr">
        <is>
          <t>Low</t>
        </is>
      </c>
    </row>
    <row r="10">
      <c r="A10" t="inlineStr">
        <is>
          <t>AirBNB</t>
        </is>
      </c>
      <c r="B10" t="inlineStr">
        <is>
          <t>Devika Gopal Agge</t>
        </is>
      </c>
      <c r="C10" t="inlineStr">
        <is>
          <t>Devika Gopal Agge</t>
        </is>
      </c>
      <c r="G10" t="inlineStr">
        <is>
          <t>TBD</t>
        </is>
      </c>
    </row>
    <row r="11">
      <c r="A11" t="inlineStr">
        <is>
          <t>Capital One</t>
        </is>
      </c>
      <c r="B11" t="inlineStr">
        <is>
          <t>Devika Gopal Agge</t>
        </is>
      </c>
      <c r="C11" t="inlineStr">
        <is>
          <t>Devika Gopal Agge</t>
        </is>
      </c>
      <c r="G11" t="inlineStr">
        <is>
          <t>TBD</t>
        </is>
      </c>
    </row>
    <row r="12">
      <c r="A12" t="inlineStr">
        <is>
          <t>Morgan Stanley</t>
        </is>
      </c>
      <c r="B12" t="inlineStr">
        <is>
          <t>Devika Gopal Agge</t>
        </is>
      </c>
      <c r="C12" t="inlineStr">
        <is>
          <t>Devika Gopal Agge</t>
        </is>
      </c>
      <c r="G12" t="inlineStr">
        <is>
          <t>TBD</t>
        </is>
      </c>
    </row>
    <row r="13">
      <c r="A13" t="inlineStr">
        <is>
          <t>Girls who Code</t>
        </is>
      </c>
      <c r="B13" t="inlineStr">
        <is>
          <t>Devika Gopal Agge</t>
        </is>
      </c>
      <c r="C13" t="inlineStr">
        <is>
          <t>Devika Gopal Agge</t>
        </is>
      </c>
      <c r="G13" t="inlineStr">
        <is>
          <t>TBD</t>
        </is>
      </c>
    </row>
    <row r="14">
      <c r="A14" t="inlineStr">
        <is>
          <t>Citi</t>
        </is>
      </c>
      <c r="B14" t="inlineStr">
        <is>
          <t>Devika Gopal Agge</t>
        </is>
      </c>
      <c r="C14" t="inlineStr">
        <is>
          <t>Devika Gopal Agge</t>
        </is>
      </c>
      <c r="G14" t="inlineStr">
        <is>
          <t>TBD</t>
        </is>
      </c>
    </row>
    <row r="15">
      <c r="A15" t="inlineStr">
        <is>
          <t>Goldman Sachs</t>
        </is>
      </c>
      <c r="B15" t="inlineStr">
        <is>
          <t>Devika Gopal Agge</t>
        </is>
      </c>
      <c r="C15" t="inlineStr">
        <is>
          <t>Devika Gopal Agge</t>
        </is>
      </c>
      <c r="F15" s="11" t="n">
        <v>46477</v>
      </c>
      <c r="G15" t="inlineStr">
        <is>
          <t>TBD</t>
        </is>
      </c>
    </row>
    <row r="16">
      <c r="A16" t="inlineStr">
        <is>
          <t>Newmark</t>
        </is>
      </c>
      <c r="B16" t="inlineStr">
        <is>
          <t>Devika Gopal Agge</t>
        </is>
      </c>
      <c r="C16" t="inlineStr">
        <is>
          <t>Devika Gopal Agge</t>
        </is>
      </c>
      <c r="D16" t="inlineStr">
        <is>
          <t>1</t>
        </is>
      </c>
      <c r="E16" t="n">
        <v>1</v>
      </c>
      <c r="F16" s="11" t="n">
        <v>46325</v>
      </c>
      <c r="G16" t="inlineStr">
        <is>
          <t>TBD</t>
        </is>
      </c>
      <c r="H16" t="inlineStr">
        <is>
          <t>Low</t>
        </is>
      </c>
      <c r="I16" t="inlineStr">
        <is>
          <t>Low as open market</t>
        </is>
      </c>
    </row>
    <row r="17">
      <c r="A17" t="inlineStr">
        <is>
          <t>RenPhil</t>
        </is>
      </c>
      <c r="B17" t="inlineStr">
        <is>
          <t>Devika Gopal Agge</t>
        </is>
      </c>
      <c r="C17" t="inlineStr">
        <is>
          <t>Devika Gopal Agge</t>
        </is>
      </c>
      <c r="G17" t="inlineStr">
        <is>
          <t>TBD</t>
        </is>
      </c>
    </row>
    <row r="18">
      <c r="A18" t="inlineStr">
        <is>
          <t>ConEd</t>
        </is>
      </c>
      <c r="B18" t="inlineStr">
        <is>
          <t>Avni Nahar</t>
        </is>
      </c>
      <c r="D18" t="inlineStr">
        <is>
          <t>1-5</t>
        </is>
      </c>
      <c r="E18" t="n">
        <v>3</v>
      </c>
      <c r="F18" s="11" t="n">
        <v>46477</v>
      </c>
      <c r="G18" t="inlineStr">
        <is>
          <t>TBD</t>
        </is>
      </c>
      <c r="H18" t="inlineStr">
        <is>
          <t>Medium</t>
        </is>
      </c>
      <c r="I18" t="inlineStr">
        <is>
          <t>We should discuss if we want to keep this as a priority given low salary and long road ahead</t>
        </is>
      </c>
    </row>
    <row r="19">
      <c r="A19" t="inlineStr">
        <is>
          <t>Vertech</t>
        </is>
      </c>
      <c r="B19" t="inlineStr">
        <is>
          <t>Avni Nahar</t>
        </is>
      </c>
      <c r="D19" t="inlineStr">
        <is>
          <t>1-5</t>
        </is>
      </c>
      <c r="E19" t="n">
        <v>3</v>
      </c>
      <c r="F19" s="11" t="n">
        <v>46325</v>
      </c>
      <c r="G19" t="inlineStr">
        <is>
          <t>TBD</t>
        </is>
      </c>
      <c r="H19" t="inlineStr">
        <is>
          <t>Medium</t>
        </is>
      </c>
    </row>
    <row r="20">
      <c r="A20" t="inlineStr">
        <is>
          <t>Carebridge</t>
        </is>
      </c>
      <c r="B20" t="inlineStr">
        <is>
          <t>Avni Nahar</t>
        </is>
      </c>
      <c r="D20" t="inlineStr">
        <is>
          <t>1</t>
        </is>
      </c>
      <c r="E20" t="n">
        <v>1</v>
      </c>
      <c r="F20" s="11" t="n">
        <v>46381</v>
      </c>
      <c r="G20" t="inlineStr">
        <is>
          <t>TBD</t>
        </is>
      </c>
      <c r="H20" t="inlineStr">
        <is>
          <t>Medium</t>
        </is>
      </c>
    </row>
    <row r="21">
      <c r="A21" t="inlineStr">
        <is>
          <t>Burbio</t>
        </is>
      </c>
      <c r="B21" t="inlineStr">
        <is>
          <t>Avni Nahar</t>
        </is>
      </c>
      <c r="D21" t="inlineStr">
        <is>
          <t>1</t>
        </is>
      </c>
      <c r="E21" t="n">
        <v>1</v>
      </c>
      <c r="F21" s="11" t="n">
        <v>46325</v>
      </c>
      <c r="G21" t="inlineStr">
        <is>
          <t>TBD</t>
        </is>
      </c>
      <c r="H21" t="inlineStr">
        <is>
          <t>High</t>
        </is>
      </c>
    </row>
    <row r="22">
      <c r="A22" t="inlineStr">
        <is>
          <t>Carter Intro</t>
        </is>
      </c>
      <c r="B22" t="inlineStr">
        <is>
          <t>Avni Nahar</t>
        </is>
      </c>
      <c r="D22" t="inlineStr">
        <is>
          <t>1</t>
        </is>
      </c>
      <c r="E22" t="n">
        <v>1</v>
      </c>
      <c r="F22" s="11" t="n">
        <v>46381</v>
      </c>
      <c r="G22" t="inlineStr">
        <is>
          <t>TBD</t>
        </is>
      </c>
      <c r="H22" t="inlineStr">
        <is>
          <t>Medium</t>
        </is>
      </c>
    </row>
    <row r="23">
      <c r="A23" t="inlineStr">
        <is>
          <t>Queens Community House</t>
        </is>
      </c>
      <c r="B23" t="inlineStr">
        <is>
          <t>Avni Nahar</t>
        </is>
      </c>
      <c r="D23" t="inlineStr">
        <is>
          <t>1</t>
        </is>
      </c>
      <c r="E23" t="n">
        <v>1</v>
      </c>
      <c r="F23" s="11" t="n">
        <v>46381</v>
      </c>
      <c r="G23" t="inlineStr">
        <is>
          <t>TBD</t>
        </is>
      </c>
      <c r="H23" t="inlineStr">
        <is>
          <t>Medium</t>
        </is>
      </c>
    </row>
    <row r="24">
      <c r="A24" t="inlineStr">
        <is>
          <t>Hispanic Federation</t>
        </is>
      </c>
      <c r="B24" t="inlineStr">
        <is>
          <t>Avni Nahar</t>
        </is>
      </c>
      <c r="D24" t="inlineStr">
        <is>
          <t>1-2</t>
        </is>
      </c>
      <c r="E24" t="n">
        <v>1</v>
      </c>
      <c r="F24" s="11" t="n">
        <v>46381</v>
      </c>
      <c r="G24" t="inlineStr">
        <is>
          <t>TBD</t>
        </is>
      </c>
      <c r="H24" t="inlineStr">
        <is>
          <t>Medium</t>
        </is>
      </c>
    </row>
    <row r="25">
      <c r="A25" t="inlineStr">
        <is>
          <t>Gilder Gagnon Howe (Karl internship)</t>
        </is>
      </c>
      <c r="B25" t="inlineStr">
        <is>
          <t>Avni Nahar</t>
        </is>
      </c>
      <c r="D25" t="inlineStr">
        <is>
          <t>1</t>
        </is>
      </c>
      <c r="E25" t="n">
        <v>1</v>
      </c>
      <c r="F25" s="11" t="n">
        <v>46381</v>
      </c>
      <c r="G25" t="inlineStr">
        <is>
          <t>TBD</t>
        </is>
      </c>
      <c r="H25" t="inlineStr">
        <is>
          <t>High</t>
        </is>
      </c>
    </row>
    <row r="26">
      <c r="A26" t="inlineStr">
        <is>
          <t>Nonprofit Deployments</t>
        </is>
      </c>
      <c r="B26" t="inlineStr">
        <is>
          <t>Avni Nahar</t>
        </is>
      </c>
      <c r="D26" t="inlineStr">
        <is>
          <t>1-3</t>
        </is>
      </c>
      <c r="E26" t="n">
        <v>1</v>
      </c>
      <c r="F26" s="11" t="n">
        <v>46381</v>
      </c>
      <c r="G26" t="inlineStr">
        <is>
          <t>TBD</t>
        </is>
      </c>
      <c r="H26" t="inlineStr">
        <is>
          <t>Medium</t>
        </is>
      </c>
    </row>
    <row r="27">
      <c r="A27" t="inlineStr">
        <is>
          <t>SMB Deployments</t>
        </is>
      </c>
      <c r="B27" t="inlineStr">
        <is>
          <t>Avni Nahar</t>
        </is>
      </c>
      <c r="D27" t="inlineStr">
        <is>
          <t>1-2</t>
        </is>
      </c>
      <c r="E27" t="n">
        <v>1</v>
      </c>
      <c r="F27" s="11" t="n">
        <v>46325</v>
      </c>
      <c r="G27" t="inlineStr">
        <is>
          <t>TBD</t>
        </is>
      </c>
      <c r="H27" t="inlineStr">
        <is>
          <t>Low</t>
        </is>
      </c>
    </row>
    <row r="28">
      <c r="A28" t="inlineStr">
        <is>
          <t>Capstone Conversions</t>
        </is>
      </c>
      <c r="B28" t="inlineStr">
        <is>
          <t>Avni Nahar</t>
        </is>
      </c>
      <c r="D28" t="inlineStr">
        <is>
          <t>1-2</t>
        </is>
      </c>
      <c r="E28" t="n">
        <v>1</v>
      </c>
      <c r="F28" s="11" t="n">
        <v>46381</v>
      </c>
      <c r="G28" t="inlineStr">
        <is>
          <t>TBD</t>
        </is>
      </c>
      <c r="H28" t="inlineStr">
        <is>
          <t>Low</t>
        </is>
      </c>
    </row>
    <row r="29">
      <c r="A29" t="inlineStr">
        <is>
          <t>LoanCore</t>
        </is>
      </c>
      <c r="B29" t="inlineStr">
        <is>
          <t>Kwame Assoku</t>
        </is>
      </c>
      <c r="C29" t="inlineStr">
        <is>
          <t>Kwame Assoku</t>
        </is>
      </c>
      <c r="D29" t="inlineStr">
        <is>
          <t>1-2</t>
        </is>
      </c>
      <c r="E29" t="n">
        <v>1</v>
      </c>
      <c r="F29" s="11" t="n">
        <v>46381</v>
      </c>
      <c r="G29" t="inlineStr">
        <is>
          <t>TBD</t>
        </is>
      </c>
      <c r="H29" t="inlineStr">
        <is>
          <t>Medium</t>
        </is>
      </c>
    </row>
    <row r="30">
      <c r="A30" t="inlineStr">
        <is>
          <t>LongLake</t>
        </is>
      </c>
      <c r="B30" t="inlineStr">
        <is>
          <t>Kwame Assoku</t>
        </is>
      </c>
      <c r="C30" t="inlineStr">
        <is>
          <t>Kwame Assoku</t>
        </is>
      </c>
      <c r="D30" t="inlineStr">
        <is>
          <t>1</t>
        </is>
      </c>
      <c r="E30" t="n">
        <v>1</v>
      </c>
      <c r="F30" s="11" t="n">
        <v>46381</v>
      </c>
      <c r="G30" t="inlineStr">
        <is>
          <t>TBD</t>
        </is>
      </c>
      <c r="H30"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3"/>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20" customWidth="1" min="3" max="3"/>
    <col width="11" customWidth="1" min="4" max="4"/>
    <col width="22" customWidth="1" min="5" max="5"/>
    <col width="90" customWidth="1" min="6" max="6"/>
  </cols>
  <sheetData>
    <row r="1">
      <c r="A1" s="4" t="inlineStr">
        <is>
          <t>Company (from contact record)</t>
        </is>
      </c>
      <c r="B1" s="4" t="inlineStr">
        <is>
          <t>Opportunity?</t>
        </is>
      </c>
      <c r="C1" s="4" t="inlineStr">
        <is>
          <t>Historical Owner</t>
        </is>
      </c>
      <c r="D1" s="4" t="inlineStr">
        <is>
          <t># Contacts</t>
        </is>
      </c>
      <c r="E1" s="4" t="inlineStr">
        <is>
          <t>Bedrock stage</t>
        </is>
      </c>
      <c r="F1" s="4" t="inlineStr">
        <is>
          <t>Deprioritization Rationale</t>
        </is>
      </c>
    </row>
    <row r="2">
      <c r="A2" s="2" t="inlineStr">
        <is>
          <t>Arbor Impact Advisors</t>
        </is>
      </c>
      <c r="B2" s="2" t="inlineStr">
        <is>
          <t>No</t>
        </is>
      </c>
      <c r="C2" s="2" t="inlineStr">
        <is>
          <t>Avni Nahar</t>
        </is>
      </c>
      <c r="D2" s="2" t="n">
        <v>1</v>
      </c>
      <c r="E2" s="2" t="inlineStr">
        <is>
          <t>not_a_fit</t>
        </is>
      </c>
      <c r="F2" s="2" t="inlineStr">
        <is>
          <t>There was an account for outreach. Contact marked Not a Fit in Bedrock. Not discussed on 9/28 call; assume deprioritized.</t>
        </is>
      </c>
    </row>
    <row r="3">
      <c r="A3" s="2" t="inlineStr">
        <is>
          <t>bms</t>
        </is>
      </c>
      <c r="B3" s="2" t="inlineStr">
        <is>
          <t>No</t>
        </is>
      </c>
      <c r="C3" s="2" t="inlineStr">
        <is>
          <t>Avni Nahar</t>
        </is>
      </c>
      <c r="D3" s="2" t="n">
        <v>1</v>
      </c>
      <c r="E3" s="2" t="inlineStr">
        <is>
          <t>initial_outreach</t>
        </is>
      </c>
      <c r="F3" s="2" t="inlineStr">
        <is>
          <t>There was an account for outreach. Outreach sent; no response logged since July. Not discussed on 9/28 call; assume deprioritized.</t>
        </is>
      </c>
    </row>
    <row r="4">
      <c r="A4" s="2" t="inlineStr">
        <is>
          <t>Braven</t>
        </is>
      </c>
      <c r="B4" s="2" t="inlineStr">
        <is>
          <t>No</t>
        </is>
      </c>
      <c r="C4" s="2" t="inlineStr">
        <is>
          <t>Avni Nahar</t>
        </is>
      </c>
      <c r="D4" s="2" t="n">
        <v>1</v>
      </c>
      <c r="E4" s="2" t="inlineStr">
        <is>
          <t>initial_outreach</t>
        </is>
      </c>
      <c r="F4" s="2" t="inlineStr">
        <is>
          <t>There was an account for outreach. Outreach sent; no response logged since July. Not discussed on 9/28 call; assume deprioritized.</t>
        </is>
      </c>
    </row>
    <row r="5">
      <c r="A5" s="2" t="inlineStr">
        <is>
          <t>Bridgespan</t>
        </is>
      </c>
      <c r="B5" s="2" t="inlineStr">
        <is>
          <t>No</t>
        </is>
      </c>
      <c r="C5" s="2" t="inlineStr">
        <is>
          <t>Avni Nahar</t>
        </is>
      </c>
      <c r="D5" s="2" t="n">
        <v>1</v>
      </c>
      <c r="E5" s="2" t="inlineStr">
        <is>
          <t>not_a_fit</t>
        </is>
      </c>
      <c r="F5" s="2" t="inlineStr">
        <is>
          <t>There was an account for outreach. Contact marked Not a Fit in Bedrock. Not discussed on 9/28 call; assume deprioritized.</t>
        </is>
      </c>
    </row>
    <row r="6">
      <c r="A6" s="2" t="inlineStr">
        <is>
          <t>Brooklyn Navy Yard Development Corporation</t>
        </is>
      </c>
      <c r="B6" s="2" t="inlineStr">
        <is>
          <t>No</t>
        </is>
      </c>
      <c r="C6" s="2" t="inlineStr">
        <is>
          <t>Avni Nahar</t>
        </is>
      </c>
      <c r="D6" s="2" t="n">
        <v>1</v>
      </c>
      <c r="E6" s="2" t="inlineStr">
        <is>
          <t>not_a_fit</t>
        </is>
      </c>
      <c r="F6" s="2" t="inlineStr">
        <is>
          <t>There was an account for outreach. Contact marked Not a Fit in Bedrock. Not discussed on 9/28 call; assume deprioritized.</t>
        </is>
      </c>
    </row>
    <row r="7">
      <c r="A7" s="2" t="inlineStr">
        <is>
          <t>Climate Jobs NY</t>
        </is>
      </c>
      <c r="B7" s="2" t="inlineStr">
        <is>
          <t>No</t>
        </is>
      </c>
      <c r="C7" s="2" t="inlineStr">
        <is>
          <t>Avni Nahar</t>
        </is>
      </c>
      <c r="D7" s="2" t="n">
        <v>1</v>
      </c>
      <c r="E7" s="2" t="inlineStr">
        <is>
          <t>not_a_fit</t>
        </is>
      </c>
      <c r="F7" s="2" t="inlineStr">
        <is>
          <t>There was an account for outreach. Contact marked Not a Fit in Bedrock. Not discussed on 9/28 call; assume deprioritized.</t>
        </is>
      </c>
    </row>
    <row r="8">
      <c r="A8" s="2" t="inlineStr">
        <is>
          <t>CodePath</t>
        </is>
      </c>
      <c r="B8" s="2" t="inlineStr">
        <is>
          <t>No</t>
        </is>
      </c>
      <c r="C8" s="2" t="inlineStr">
        <is>
          <t>Avni Nahar</t>
        </is>
      </c>
      <c r="D8" s="2" t="n">
        <v>1</v>
      </c>
      <c r="E8" s="2" t="inlineStr">
        <is>
          <t>not_a_fit</t>
        </is>
      </c>
      <c r="F8" s="2" t="inlineStr">
        <is>
          <t>There was an account for outreach. Contact marked Not a Fit in Bedrock. Not discussed on 9/28 call; assume deprioritized.</t>
        </is>
      </c>
    </row>
    <row r="9">
      <c r="A9" s="2" t="inlineStr">
        <is>
          <t>COOP Careers</t>
        </is>
      </c>
      <c r="B9" s="2" t="inlineStr">
        <is>
          <t>No</t>
        </is>
      </c>
      <c r="C9" s="2" t="inlineStr">
        <is>
          <t>Avni Nahar</t>
        </is>
      </c>
      <c r="D9" s="2" t="n">
        <v>1</v>
      </c>
      <c r="E9" s="2" t="inlineStr">
        <is>
          <t>call_booked</t>
        </is>
      </c>
      <c r="F9" s="2" t="inlineStr">
        <is>
          <t>There was an account for outreach. Call booked but no opportunity created. Not discussed on 9/28 call; assume deprioritized.</t>
        </is>
      </c>
    </row>
    <row r="10">
      <c r="A10" s="2" t="inlineStr">
        <is>
          <t>DBOS, Inc.</t>
        </is>
      </c>
      <c r="B10" s="2" t="inlineStr">
        <is>
          <t>No</t>
        </is>
      </c>
      <c r="C10" s="2" t="inlineStr">
        <is>
          <t>Avni Nahar</t>
        </is>
      </c>
      <c r="D10" s="2" t="n">
        <v>1</v>
      </c>
      <c r="E10" s="2" t="inlineStr">
        <is>
          <t>not_a_fit</t>
        </is>
      </c>
      <c r="F10" s="2" t="inlineStr">
        <is>
          <t>There was an account for outreach. Contact marked Not a Fit in Bedrock. Not discussed on 9/28 call; assume deprioritized.</t>
        </is>
      </c>
    </row>
    <row r="11">
      <c r="A11" s="2" t="inlineStr">
        <is>
          <t>Economic Security Project</t>
        </is>
      </c>
      <c r="B11" s="2" t="inlineStr">
        <is>
          <t>No</t>
        </is>
      </c>
      <c r="C11" s="2" t="inlineStr">
        <is>
          <t>Avni Nahar</t>
        </is>
      </c>
      <c r="D11" s="2" t="n">
        <v>1</v>
      </c>
      <c r="E11" s="2" t="inlineStr">
        <is>
          <t>initial_outreach</t>
        </is>
      </c>
      <c r="F11" s="2" t="inlineStr">
        <is>
          <t>There was an account for outreach. Outreach sent; no response logged since July. Not discussed on 9/28 call; assume deprioritized.</t>
        </is>
      </c>
    </row>
    <row r="12">
      <c r="A12" s="2" t="inlineStr">
        <is>
          <t>Education Strategy Group</t>
        </is>
      </c>
      <c r="B12" s="2" t="inlineStr">
        <is>
          <t>No</t>
        </is>
      </c>
      <c r="C12" s="2" t="inlineStr">
        <is>
          <t>Avni Nahar</t>
        </is>
      </c>
      <c r="D12" s="2" t="n">
        <v>1</v>
      </c>
      <c r="E12" s="2" t="inlineStr">
        <is>
          <t>not_a_fit</t>
        </is>
      </c>
      <c r="F12" s="2" t="inlineStr">
        <is>
          <t>There was an account for outreach. Contact marked Not a Fit in Bedrock. Not discussed on 9/28 call; assume deprioritized.</t>
        </is>
      </c>
    </row>
    <row r="13">
      <c r="A13" s="2" t="inlineStr">
        <is>
          <t>FCNY</t>
        </is>
      </c>
      <c r="B13" s="2" t="inlineStr">
        <is>
          <t>No</t>
        </is>
      </c>
      <c r="C13" s="2" t="inlineStr">
        <is>
          <t>Avni Nahar</t>
        </is>
      </c>
      <c r="D13" s="2" t="n">
        <v>1</v>
      </c>
      <c r="E13" s="2" t="inlineStr">
        <is>
          <t>not_a_fit</t>
        </is>
      </c>
      <c r="F13" s="2" t="inlineStr">
        <is>
          <t>There was an account for outreach. Contact marked Not a Fit in Bedrock. Not discussed on 9/28 call; assume deprioritized.</t>
        </is>
      </c>
    </row>
    <row r="14">
      <c r="A14" s="2" t="inlineStr">
        <is>
          <t>Food Education Fund</t>
        </is>
      </c>
      <c r="B14" s="2" t="inlineStr">
        <is>
          <t>No</t>
        </is>
      </c>
      <c r="C14" s="2" t="inlineStr">
        <is>
          <t>Avni Nahar</t>
        </is>
      </c>
      <c r="D14" s="2" t="n">
        <v>1</v>
      </c>
      <c r="E14" s="2" t="inlineStr">
        <is>
          <t>converted_to_opportunity</t>
        </is>
      </c>
      <c r="F14" s="2" t="inlineStr">
        <is>
          <t>There was an account for outreach. Contact converted, but no open opportunity remains. Not discussed on 9/28 call; assume deprioritized.</t>
        </is>
      </c>
    </row>
    <row r="15">
      <c r="A15" s="2" t="inlineStr">
        <is>
          <t>General Catalyst Partners</t>
        </is>
      </c>
      <c r="B15" s="2" t="inlineStr">
        <is>
          <t>No</t>
        </is>
      </c>
      <c r="C15" s="2" t="inlineStr">
        <is>
          <t>Avni Nahar</t>
        </is>
      </c>
      <c r="D15" s="2" t="n">
        <v>1</v>
      </c>
      <c r="E15" s="2" t="inlineStr">
        <is>
          <t>call_booked</t>
        </is>
      </c>
      <c r="F15" s="2" t="inlineStr">
        <is>
          <t>There was an account for outreach. Call booked but no opportunity created. Not discussed on 9/28 call; assume deprioritized.</t>
        </is>
      </c>
    </row>
    <row r="16">
      <c r="A16" s="2" t="inlineStr">
        <is>
          <t>Generation Citizen</t>
        </is>
      </c>
      <c r="B16" s="2" t="inlineStr">
        <is>
          <t>No</t>
        </is>
      </c>
      <c r="C16" s="2" t="inlineStr">
        <is>
          <t>Avni Nahar</t>
        </is>
      </c>
      <c r="D16" s="2" t="n">
        <v>1</v>
      </c>
      <c r="E16" s="2" t="inlineStr">
        <is>
          <t>not_a_fit</t>
        </is>
      </c>
      <c r="F16" s="2" t="inlineStr">
        <is>
          <t>There was an account for outreach. Contact marked Not a Fit in Bedrock. Not discussed on 9/28 call; assume deprioritized.</t>
        </is>
      </c>
    </row>
    <row r="17">
      <c r="A17" s="2" t="inlineStr">
        <is>
          <t>GovWell</t>
        </is>
      </c>
      <c r="B17" s="2" t="inlineStr">
        <is>
          <t>No</t>
        </is>
      </c>
      <c r="C17" s="2" t="inlineStr">
        <is>
          <t>Avni Nahar</t>
        </is>
      </c>
      <c r="D17" s="2" t="n">
        <v>1</v>
      </c>
      <c r="E17" s="2" t="inlineStr">
        <is>
          <t>not_a_fit</t>
        </is>
      </c>
      <c r="F17" s="2" t="inlineStr">
        <is>
          <t>There was an account for outreach. Contact marked Not a Fit in Bedrock. Not discussed on 9/28 call; assume deprioritized.</t>
        </is>
      </c>
    </row>
    <row r="18">
      <c r="A18" s="2" t="inlineStr">
        <is>
          <t>IDinsight</t>
        </is>
      </c>
      <c r="B18" s="2" t="inlineStr">
        <is>
          <t>No</t>
        </is>
      </c>
      <c r="C18" s="2" t="inlineStr">
        <is>
          <t>Avni Nahar</t>
        </is>
      </c>
      <c r="D18" s="2" t="n">
        <v>1</v>
      </c>
      <c r="E18" s="2" t="inlineStr">
        <is>
          <t>not_a_fit</t>
        </is>
      </c>
      <c r="F18" s="2" t="inlineStr">
        <is>
          <t>There was an account for outreach. Contact marked Not a Fit in Bedrock. Not discussed on 9/28 call; assume deprioritized.</t>
        </is>
      </c>
    </row>
    <row r="19">
      <c r="A19" s="2" t="inlineStr">
        <is>
          <t>Jobs for the Future (JFF)</t>
        </is>
      </c>
      <c r="B19" s="2" t="inlineStr">
        <is>
          <t>No</t>
        </is>
      </c>
      <c r="C19" s="2" t="inlineStr">
        <is>
          <t>Avni Nahar</t>
        </is>
      </c>
      <c r="D19" s="2" t="n">
        <v>1</v>
      </c>
      <c r="E19" s="2" t="inlineStr">
        <is>
          <t>not_a_fit</t>
        </is>
      </c>
      <c r="F19" s="2" t="inlineStr">
        <is>
          <t>There was an account for outreach. Contact marked Not a Fit in Bedrock. Not discussed on 9/28 call; assume deprioritized.</t>
        </is>
      </c>
    </row>
    <row r="20">
      <c r="A20" s="2" t="inlineStr">
        <is>
          <t>KKR</t>
        </is>
      </c>
      <c r="B20" s="2" t="inlineStr">
        <is>
          <t>No</t>
        </is>
      </c>
      <c r="C20" s="2" t="inlineStr">
        <is>
          <t>Avni Nahar</t>
        </is>
      </c>
      <c r="D20" s="2" t="n">
        <v>1</v>
      </c>
      <c r="E20" s="2" t="inlineStr">
        <is>
          <t>initial_outreach</t>
        </is>
      </c>
      <c r="F20" s="2" t="inlineStr">
        <is>
          <t>There was an account for outreach. Outreach sent; no response logged since July. Devika also has an open KKR opp. Not discussed on 9/28 call; assume deprioritized.</t>
        </is>
      </c>
    </row>
    <row r="21">
      <c r="A21" s="2" t="inlineStr">
        <is>
          <t>mHUB</t>
        </is>
      </c>
      <c r="B21" s="2" t="inlineStr">
        <is>
          <t>No</t>
        </is>
      </c>
      <c r="C21" s="2" t="inlineStr">
        <is>
          <t>Avni Nahar</t>
        </is>
      </c>
      <c r="D21" s="2" t="n">
        <v>1</v>
      </c>
      <c r="E21" s="2" t="inlineStr">
        <is>
          <t>initial_outreach</t>
        </is>
      </c>
      <c r="F21" s="2" t="inlineStr">
        <is>
          <t>There was an account for outreach. Outreach sent; no response logged since July. Not discussed on 9/28 call; assume deprioritized.</t>
        </is>
      </c>
    </row>
    <row r="22">
      <c r="A22" s="2" t="inlineStr">
        <is>
          <t>MyPath</t>
        </is>
      </c>
      <c r="B22" s="2" t="inlineStr">
        <is>
          <t>No</t>
        </is>
      </c>
      <c r="C22" s="2" t="inlineStr">
        <is>
          <t>Avni Nahar</t>
        </is>
      </c>
      <c r="D22" s="2" t="n">
        <v>1</v>
      </c>
      <c r="E22" s="2" t="inlineStr">
        <is>
          <t>not_a_fit</t>
        </is>
      </c>
      <c r="F22" s="2" t="inlineStr">
        <is>
          <t>There was an account for outreach. Contact marked Not a Fit in Bedrock. Not discussed on 9/28 call; assume deprioritized.</t>
        </is>
      </c>
    </row>
    <row r="23">
      <c r="A23" s="2" t="inlineStr">
        <is>
          <t>NYU Stern</t>
        </is>
      </c>
      <c r="B23" s="2" t="inlineStr">
        <is>
          <t>No</t>
        </is>
      </c>
      <c r="C23" s="2" t="inlineStr">
        <is>
          <t>Avni Nahar</t>
        </is>
      </c>
      <c r="D23" s="2" t="n">
        <v>1</v>
      </c>
      <c r="E23" s="2" t="inlineStr">
        <is>
          <t>not_a_fit</t>
        </is>
      </c>
      <c r="F23" s="2" t="inlineStr">
        <is>
          <t>There was an account for outreach. Contact marked Not a Fit in Bedrock. Not discussed on 9/28 call; assume deprioritized.</t>
        </is>
      </c>
    </row>
    <row r="24">
      <c r="A24" s="2" t="inlineStr">
        <is>
          <t>One Million Degrees</t>
        </is>
      </c>
      <c r="B24" s="2" t="inlineStr">
        <is>
          <t>No</t>
        </is>
      </c>
      <c r="C24" s="2" t="inlineStr">
        <is>
          <t>Avni Nahar</t>
        </is>
      </c>
      <c r="D24" s="2" t="n">
        <v>1</v>
      </c>
      <c r="E24" s="2" t="inlineStr">
        <is>
          <t>initial_outreach</t>
        </is>
      </c>
      <c r="F24" s="2" t="inlineStr">
        <is>
          <t>There was an account for outreach. Outreach sent; no response logged since July. Not discussed on 9/28 call; assume deprioritized.</t>
        </is>
      </c>
    </row>
    <row r="25">
      <c r="A25" s="2" t="inlineStr">
        <is>
          <t>Palo Alto Networks</t>
        </is>
      </c>
      <c r="B25" s="2" t="inlineStr">
        <is>
          <t>No</t>
        </is>
      </c>
      <c r="C25" s="2" t="inlineStr">
        <is>
          <t>Avni Nahar</t>
        </is>
      </c>
      <c r="D25" s="2" t="n">
        <v>1</v>
      </c>
      <c r="E25" s="2" t="inlineStr">
        <is>
          <t>initial_outreach</t>
        </is>
      </c>
      <c r="F25" s="2" t="inlineStr">
        <is>
          <t>There was an account for outreach. Outreach sent; no response logged since July. Not discussed on 9/28 call; assume deprioritized.</t>
        </is>
      </c>
    </row>
    <row r="26">
      <c r="A26" s="2" t="inlineStr">
        <is>
          <t>RxSaveCard</t>
        </is>
      </c>
      <c r="B26" s="2" t="inlineStr">
        <is>
          <t>No</t>
        </is>
      </c>
      <c r="C26" s="2" t="inlineStr">
        <is>
          <t>Avni Nahar</t>
        </is>
      </c>
      <c r="D26" s="2" t="n">
        <v>1</v>
      </c>
      <c r="E26" s="2" t="inlineStr">
        <is>
          <t>not_a_fit</t>
        </is>
      </c>
      <c r="F26" s="2" t="inlineStr">
        <is>
          <t>There was an account for outreach. Contact marked Not a Fit in Bedrock. Not discussed on 9/28 call; assume deprioritized.</t>
        </is>
      </c>
    </row>
    <row r="27">
      <c r="A27" s="2" t="inlineStr">
        <is>
          <t>Saferide</t>
        </is>
      </c>
      <c r="B27" s="2" t="inlineStr">
        <is>
          <t>No</t>
        </is>
      </c>
      <c r="C27" s="2" t="inlineStr">
        <is>
          <t>Avni Nahar</t>
        </is>
      </c>
      <c r="D27" s="2" t="n">
        <v>1</v>
      </c>
      <c r="E27" s="2" t="inlineStr">
        <is>
          <t>not_a_fit</t>
        </is>
      </c>
      <c r="F27" s="2" t="inlineStr">
        <is>
          <t>There was an account for outreach. Contact marked Not a Fit in Bedrock. Not discussed on 9/28 call; assume deprioritized.</t>
        </is>
      </c>
    </row>
    <row r="28">
      <c r="A28" s="2" t="inlineStr">
        <is>
          <t>Secure Community Network</t>
        </is>
      </c>
      <c r="B28" s="2" t="inlineStr">
        <is>
          <t>No</t>
        </is>
      </c>
      <c r="C28" s="2" t="inlineStr">
        <is>
          <t>Avni Nahar</t>
        </is>
      </c>
      <c r="D28" s="2" t="n">
        <v>1</v>
      </c>
      <c r="E28" s="2" t="inlineStr">
        <is>
          <t>initial_outreach</t>
        </is>
      </c>
      <c r="F28" s="2" t="inlineStr">
        <is>
          <t>There was an account for outreach. Outreach sent; no response logged since July. Not discussed on 9/28 call; assume deprioritized.</t>
        </is>
      </c>
    </row>
    <row r="29">
      <c r="A29" s="2" t="inlineStr">
        <is>
          <t>Siegel Foundation</t>
        </is>
      </c>
      <c r="B29" s="2" t="inlineStr">
        <is>
          <t>No</t>
        </is>
      </c>
      <c r="C29" s="2" t="inlineStr">
        <is>
          <t>Avni Nahar</t>
        </is>
      </c>
      <c r="D29" s="2" t="n">
        <v>1</v>
      </c>
      <c r="E29" s="2" t="inlineStr">
        <is>
          <t>initial_outreach</t>
        </is>
      </c>
      <c r="F29" s="2" t="inlineStr">
        <is>
          <t>There was an account for outreach. Outreach sent; no response logged since July. Not discussed on 9/28 call; assume deprioritized.</t>
        </is>
      </c>
    </row>
    <row r="30">
      <c r="A30" s="2" t="inlineStr">
        <is>
          <t>Sonoran Hospitality Brands</t>
        </is>
      </c>
      <c r="B30" s="2" t="inlineStr">
        <is>
          <t>No</t>
        </is>
      </c>
      <c r="C30" s="2" t="inlineStr">
        <is>
          <t>Avni Nahar</t>
        </is>
      </c>
      <c r="D30" s="2" t="n">
        <v>1</v>
      </c>
      <c r="E30" s="2" t="inlineStr">
        <is>
          <t>not_a_fit</t>
        </is>
      </c>
      <c r="F30" s="2" t="inlineStr">
        <is>
          <t>There was an account for outreach. Contact marked Not a Fit in Bedrock. Not discussed on 9/28 call; assume deprioritized.</t>
        </is>
      </c>
    </row>
    <row r="31">
      <c r="A31" s="2" t="inlineStr">
        <is>
          <t>TaskRabbit</t>
        </is>
      </c>
      <c r="B31" s="2" t="inlineStr">
        <is>
          <t>No</t>
        </is>
      </c>
      <c r="C31" s="2" t="inlineStr">
        <is>
          <t>Avni Nahar</t>
        </is>
      </c>
      <c r="D31" s="2" t="n">
        <v>1</v>
      </c>
      <c r="E31" s="2" t="inlineStr">
        <is>
          <t>initial_outreach</t>
        </is>
      </c>
      <c r="F31" s="2" t="inlineStr">
        <is>
          <t>There was an account for outreach. Outreach sent; no response logged since July. Not discussed on 9/28 call; assume deprioritized.</t>
        </is>
      </c>
    </row>
    <row r="32">
      <c r="A32" s="2" t="inlineStr">
        <is>
          <t>Transcend</t>
        </is>
      </c>
      <c r="B32" s="2" t="inlineStr">
        <is>
          <t>No</t>
        </is>
      </c>
      <c r="C32" s="2" t="inlineStr">
        <is>
          <t>Avni Nahar</t>
        </is>
      </c>
      <c r="D32" s="2" t="n">
        <v>1</v>
      </c>
      <c r="E32" s="2" t="inlineStr">
        <is>
          <t>not_a_fit</t>
        </is>
      </c>
      <c r="F32" s="2" t="inlineStr">
        <is>
          <t>There was an account for outreach. Contact marked Not a Fit in Bedrock. Not discussed on 9/28 call; assume deprioritized.</t>
        </is>
      </c>
    </row>
    <row r="33">
      <c r="A33" s="2" t="inlineStr">
        <is>
          <t>Urban Pathways</t>
        </is>
      </c>
      <c r="B33" s="2" t="inlineStr">
        <is>
          <t>No</t>
        </is>
      </c>
      <c r="C33" s="2" t="inlineStr">
        <is>
          <t>Avni Nahar</t>
        </is>
      </c>
      <c r="D33" s="2" t="n">
        <v>1</v>
      </c>
      <c r="E33" s="2" t="inlineStr">
        <is>
          <t>initial_outreach</t>
        </is>
      </c>
      <c r="F33" s="2" t="inlineStr">
        <is>
          <t>There was an account for outreach. Outreach sent; no response logged since July. Not discussed on 9/28 call; assume deprioritized.</t>
        </is>
      </c>
    </row>
    <row r="34">
      <c r="A34" s="2" t="inlineStr">
        <is>
          <t>Westbound Equity Partners</t>
        </is>
      </c>
      <c r="B34" s="2" t="inlineStr">
        <is>
          <t>No</t>
        </is>
      </c>
      <c r="C34" s="2" t="inlineStr">
        <is>
          <t>Avni Nahar</t>
        </is>
      </c>
      <c r="D34" s="2" t="n">
        <v>1</v>
      </c>
      <c r="E34" s="2" t="inlineStr">
        <is>
          <t>not_a_fit</t>
        </is>
      </c>
      <c r="F34" s="2" t="inlineStr">
        <is>
          <t>There was an account for outreach. Contact marked Not a Fit in Bedrock. Not discussed on 9/28 call; assume deprioritized.</t>
        </is>
      </c>
    </row>
    <row r="35">
      <c r="A35" s="2" t="inlineStr">
        <is>
          <t>1club.ai</t>
        </is>
      </c>
      <c r="B35" s="2" t="inlineStr">
        <is>
          <t>No</t>
        </is>
      </c>
      <c r="C35" s="2" t="inlineStr">
        <is>
          <t>Damon Kornhauser</t>
        </is>
      </c>
      <c r="D35" s="2" t="n">
        <v>1</v>
      </c>
      <c r="E35" s="2" t="inlineStr">
        <is>
          <t>initial_outreach</t>
        </is>
      </c>
      <c r="F35" s="2" t="inlineStr">
        <is>
          <t>There was an account for outreach. Operation 35 contact (Nick's list) assigned 7/22; no movement past initial outreach. Not discussed on 9/28 call; assume deprioritized.</t>
        </is>
      </c>
    </row>
    <row r="36">
      <c r="A36" s="2" t="inlineStr">
        <is>
          <t>Access Information Management</t>
        </is>
      </c>
      <c r="B36" s="2" t="inlineStr">
        <is>
          <t>No</t>
        </is>
      </c>
      <c r="C36" s="2" t="inlineStr">
        <is>
          <t>Damon Kornhauser</t>
        </is>
      </c>
      <c r="D36" s="2" t="n">
        <v>1</v>
      </c>
      <c r="E36" s="2" t="inlineStr">
        <is>
          <t>initial_outreach</t>
        </is>
      </c>
      <c r="F36" s="2" t="inlineStr">
        <is>
          <t>There was an account for outreach. Operation 35 contact (Nick's list) assigned 7/22; no movement past initial outreach. Not discussed on 9/28 call; assume deprioritized.</t>
        </is>
      </c>
    </row>
    <row r="37">
      <c r="A37" s="2" t="inlineStr">
        <is>
          <t>Altus Fire &amp; Life Safety</t>
        </is>
      </c>
      <c r="B37" s="2" t="inlineStr">
        <is>
          <t>No</t>
        </is>
      </c>
      <c r="C37" s="2" t="inlineStr">
        <is>
          <t>Damon Kornhauser</t>
        </is>
      </c>
      <c r="D37" s="2" t="n">
        <v>1</v>
      </c>
      <c r="E37" s="2" t="inlineStr">
        <is>
          <t>initial_outreach</t>
        </is>
      </c>
      <c r="F37" s="2" t="inlineStr">
        <is>
          <t>There was an account for outreach. Operation 35 contact (Nick's list) assigned 7/22; no movement past initial outreach. Not discussed on 9/28 call; assume deprioritized.</t>
        </is>
      </c>
    </row>
    <row r="38">
      <c r="A38" s="2" t="inlineStr">
        <is>
          <t>Amazon Web Services (AWS)</t>
        </is>
      </c>
      <c r="B38" s="2" t="inlineStr">
        <is>
          <t>No</t>
        </is>
      </c>
      <c r="C38" s="2" t="inlineStr">
        <is>
          <t>Damon Kornhauser</t>
        </is>
      </c>
      <c r="D38" s="2" t="n">
        <v>3</v>
      </c>
      <c r="E38" s="2" t="inlineStr">
        <is>
          <t>initial_outreach</t>
        </is>
      </c>
      <c r="F38" s="2" t="inlineStr">
        <is>
          <t>There was an account for outreach. Operation 35 contact (Nick's list) assigned 7/22; no movement past initial outreach. Not discussed on 9/28 call; assume deprioritized.</t>
        </is>
      </c>
    </row>
    <row r="39">
      <c r="A39" s="2" t="inlineStr">
        <is>
          <t>Apple</t>
        </is>
      </c>
      <c r="B39" s="2" t="inlineStr">
        <is>
          <t>No</t>
        </is>
      </c>
      <c r="C39" s="2" t="inlineStr">
        <is>
          <t>Damon Kornhauser</t>
        </is>
      </c>
      <c r="D39" s="2" t="n">
        <v>1</v>
      </c>
      <c r="E39" s="2" t="inlineStr">
        <is>
          <t>initial_outreach</t>
        </is>
      </c>
      <c r="F39" s="2" t="inlineStr">
        <is>
          <t>There was an account for outreach. Operation 35 contact (Nick's list) assigned 7/22; no movement past initial outreach. Not discussed on 9/28 call; assume deprioritized.</t>
        </is>
      </c>
    </row>
    <row r="40">
      <c r="A40" s="2" t="inlineStr">
        <is>
          <t>Attentive</t>
        </is>
      </c>
      <c r="B40" s="2" t="inlineStr">
        <is>
          <t>No</t>
        </is>
      </c>
      <c r="C40" s="2" t="inlineStr">
        <is>
          <t>Damon Kornhauser</t>
        </is>
      </c>
      <c r="D40" s="2" t="n">
        <v>1</v>
      </c>
      <c r="E40" s="2" t="inlineStr">
        <is>
          <t>initial_outreach</t>
        </is>
      </c>
      <c r="F40" s="2" t="inlineStr">
        <is>
          <t>There was an account for outreach. Operation 35 contact (Nick's list) assigned 7/22; no movement past initial outreach. Not discussed on 9/28 call; assume deprioritized.</t>
        </is>
      </c>
    </row>
    <row r="41">
      <c r="A41" s="2" t="inlineStr">
        <is>
          <t>Audible</t>
        </is>
      </c>
      <c r="B41" s="2" t="inlineStr">
        <is>
          <t>No</t>
        </is>
      </c>
      <c r="C41" s="2" t="inlineStr">
        <is>
          <t>Damon Kornhauser</t>
        </is>
      </c>
      <c r="D41" s="2" t="n">
        <v>5</v>
      </c>
      <c r="E41" s="2" t="inlineStr">
        <is>
          <t>initial_outreach</t>
        </is>
      </c>
      <c r="F41" s="2" t="inlineStr">
        <is>
          <t>There was an account for outreach. Operation 35 contact (Nick's list) assigned 7/22; no movement past initial outreach. Not discussed on 9/28 call; assume deprioritized.</t>
        </is>
      </c>
    </row>
    <row r="42">
      <c r="A42" s="2" t="inlineStr">
        <is>
          <t>augustschell</t>
        </is>
      </c>
      <c r="B42" s="2" t="inlineStr">
        <is>
          <t>No</t>
        </is>
      </c>
      <c r="C42" s="2" t="inlineStr">
        <is>
          <t>Damon Kornhauser</t>
        </is>
      </c>
      <c r="D42" s="2" t="n">
        <v>1</v>
      </c>
      <c r="E42" s="2" t="inlineStr">
        <is>
          <t>initial_outreach</t>
        </is>
      </c>
      <c r="F42" s="2" t="inlineStr">
        <is>
          <t>There was an account for outreach. Operation 35 contact (Nick's list) assigned 7/22; no movement past initial outreach. Not discussed on 9/28 call; assume deprioritized.</t>
        </is>
      </c>
    </row>
    <row r="43">
      <c r="A43" s="2" t="inlineStr">
        <is>
          <t>Backpack Interactive</t>
        </is>
      </c>
      <c r="B43" s="2" t="inlineStr">
        <is>
          <t>No</t>
        </is>
      </c>
      <c r="C43" s="2" t="inlineStr">
        <is>
          <t>Damon Kornhauser</t>
        </is>
      </c>
      <c r="D43" s="2" t="n">
        <v>1</v>
      </c>
      <c r="E43" s="2" t="inlineStr">
        <is>
          <t>initial_outreach</t>
        </is>
      </c>
      <c r="F43" s="2" t="inlineStr">
        <is>
          <t>There was an account for outreach. Operation 35 contact (Nick's list) assigned 7/22; no movement past initial outreach. Not discussed on 9/28 call; assume deprioritized.</t>
        </is>
      </c>
    </row>
    <row r="44">
      <c r="A44" s="2" t="inlineStr">
        <is>
          <t>BlackRock</t>
        </is>
      </c>
      <c r="B44" s="2" t="inlineStr">
        <is>
          <t>No</t>
        </is>
      </c>
      <c r="C44" s="2" t="inlineStr">
        <is>
          <t>Damon Kornhauser</t>
        </is>
      </c>
      <c r="D44" s="2" t="n">
        <v>2</v>
      </c>
      <c r="E44" s="2" t="inlineStr">
        <is>
          <t>initial_outreach</t>
        </is>
      </c>
      <c r="F44" s="2" t="inlineStr">
        <is>
          <t>There was an account for outreach. Operation 35 contact (Nick's list) assigned 7/22; no movement past initial outreach. Not discussed on 9/28 call; assume deprioritized.</t>
        </is>
      </c>
    </row>
    <row r="45">
      <c r="A45" s="2" t="inlineStr">
        <is>
          <t>Braintrust</t>
        </is>
      </c>
      <c r="B45" s="2" t="inlineStr">
        <is>
          <t>No</t>
        </is>
      </c>
      <c r="C45" s="2" t="inlineStr">
        <is>
          <t>Damon Kornhauser</t>
        </is>
      </c>
      <c r="D45" s="2" t="n">
        <v>1</v>
      </c>
      <c r="E45" s="2" t="inlineStr">
        <is>
          <t>initial_outreach</t>
        </is>
      </c>
      <c r="F45" s="2" t="inlineStr">
        <is>
          <t>There was an account for outreach. Operation 35 contact (Nick's list) assigned 7/22; no movement past initial outreach. Not discussed on 9/28 call; assume deprioritized.</t>
        </is>
      </c>
    </row>
    <row r="46">
      <c r="A46" s="2" t="inlineStr">
        <is>
          <t>Breakthru Beverage Group</t>
        </is>
      </c>
      <c r="B46" s="2" t="inlineStr">
        <is>
          <t>No</t>
        </is>
      </c>
      <c r="C46" s="2" t="inlineStr">
        <is>
          <t>Damon Kornhauser</t>
        </is>
      </c>
      <c r="D46" s="2" t="n">
        <v>1</v>
      </c>
      <c r="E46" s="2" t="inlineStr">
        <is>
          <t>initial_outreach</t>
        </is>
      </c>
      <c r="F46" s="2" t="inlineStr">
        <is>
          <t>There was an account for outreach. Operation 35 contact (Nick's list) assigned 7/22; no movement past initial outreach. Not discussed on 9/28 call; assume deprioritized.</t>
        </is>
      </c>
    </row>
    <row r="47">
      <c r="A47" s="2" t="inlineStr">
        <is>
          <t>Broadridge</t>
        </is>
      </c>
      <c r="B47" s="2" t="inlineStr">
        <is>
          <t>No</t>
        </is>
      </c>
      <c r="C47" s="2" t="inlineStr">
        <is>
          <t>Damon Kornhauser</t>
        </is>
      </c>
      <c r="D47" s="2" t="n">
        <v>1</v>
      </c>
      <c r="E47" s="2" t="inlineStr">
        <is>
          <t>initial_outreach</t>
        </is>
      </c>
      <c r="F47" s="2" t="inlineStr">
        <is>
          <t>There was an account for outreach. Operation 35 contact (Nick's list) assigned 7/22; no movement past initial outreach. Not discussed on 9/28 call; assume deprioritized.</t>
        </is>
      </c>
    </row>
    <row r="48">
      <c r="A48" s="2" t="inlineStr">
        <is>
          <t>Burlington Stores</t>
        </is>
      </c>
      <c r="B48" s="2" t="inlineStr">
        <is>
          <t>No</t>
        </is>
      </c>
      <c r="C48" s="2" t="inlineStr">
        <is>
          <t>Damon Kornhauser</t>
        </is>
      </c>
      <c r="D48" s="2" t="n">
        <v>1</v>
      </c>
      <c r="E48" s="2" t="inlineStr">
        <is>
          <t>initial_outreach</t>
        </is>
      </c>
      <c r="F48" s="2" t="inlineStr">
        <is>
          <t>There was an account for outreach. Operation 35 contact (Nick's list) assigned 7/22; no movement past initial outreach. Not discussed on 9/28 call; assume deprioritized.</t>
        </is>
      </c>
    </row>
    <row r="49">
      <c r="A49" s="2" t="inlineStr">
        <is>
          <t>BurnAlong</t>
        </is>
      </c>
      <c r="B49" s="2" t="inlineStr">
        <is>
          <t>No</t>
        </is>
      </c>
      <c r="C49" s="2" t="inlineStr">
        <is>
          <t>Damon Kornhauser</t>
        </is>
      </c>
      <c r="D49" s="2" t="n">
        <v>1</v>
      </c>
      <c r="E49" s="2" t="inlineStr">
        <is>
          <t>initial_outreach</t>
        </is>
      </c>
      <c r="F49" s="2" t="inlineStr">
        <is>
          <t>There was an account for outreach. Operation 35 contact (Nick's list) assigned 7/22; no movement past initial outreach. Not discussed on 9/28 call; assume deprioritized.</t>
        </is>
      </c>
    </row>
    <row r="50">
      <c r="A50" s="2" t="inlineStr">
        <is>
          <t>CAMELS Research Group</t>
        </is>
      </c>
      <c r="B50" s="2" t="inlineStr">
        <is>
          <t>No</t>
        </is>
      </c>
      <c r="C50" s="2" t="inlineStr">
        <is>
          <t>Damon Kornhauser</t>
        </is>
      </c>
      <c r="D50" s="2" t="n">
        <v>1</v>
      </c>
      <c r="E50" s="2" t="inlineStr">
        <is>
          <t>initial_outreach</t>
        </is>
      </c>
      <c r="F50" s="2" t="inlineStr">
        <is>
          <t>There was an account for outreach. Operation 35 contact (Nick's list) assigned 7/22; no movement past initial outreach. Not discussed on 9/28 call; assume deprioritized.</t>
        </is>
      </c>
    </row>
    <row r="51">
      <c r="A51" s="2" t="inlineStr">
        <is>
          <t>Capgemini</t>
        </is>
      </c>
      <c r="B51" s="2" t="inlineStr">
        <is>
          <t>No</t>
        </is>
      </c>
      <c r="C51" s="2" t="inlineStr">
        <is>
          <t>Damon Kornhauser</t>
        </is>
      </c>
      <c r="D51" s="2" t="n">
        <v>1</v>
      </c>
      <c r="E51" s="2" t="inlineStr">
        <is>
          <t>initial_outreach</t>
        </is>
      </c>
      <c r="F51" s="2" t="inlineStr">
        <is>
          <t>There was an account for outreach. Operation 35 contact (Nick's list) assigned 7/22; no movement past initial outreach. Not discussed on 9/28 call; assume deprioritized.</t>
        </is>
      </c>
    </row>
    <row r="52">
      <c r="A52" s="2" t="inlineStr">
        <is>
          <t>Codecademy</t>
        </is>
      </c>
      <c r="B52" s="2" t="inlineStr">
        <is>
          <t>No</t>
        </is>
      </c>
      <c r="C52" s="2" t="inlineStr">
        <is>
          <t>Damon Kornhauser</t>
        </is>
      </c>
      <c r="D52" s="2" t="n">
        <v>1</v>
      </c>
      <c r="E52" s="2" t="inlineStr">
        <is>
          <t>initial_outreach</t>
        </is>
      </c>
      <c r="F52" s="2" t="inlineStr">
        <is>
          <t>There was an account for outreach. Operation 35 contact (Nick's list) assigned 7/22; no movement past initial outreach. Not discussed on 9/28 call; assume deprioritized.</t>
        </is>
      </c>
    </row>
    <row r="53">
      <c r="A53" s="2" t="inlineStr">
        <is>
          <t>Cohen &amp; Gresser LLP</t>
        </is>
      </c>
      <c r="B53" s="2" t="inlineStr">
        <is>
          <t>No</t>
        </is>
      </c>
      <c r="C53" s="2" t="inlineStr">
        <is>
          <t>Damon Kornhauser</t>
        </is>
      </c>
      <c r="D53" s="2" t="n">
        <v>1</v>
      </c>
      <c r="E53" s="2" t="inlineStr">
        <is>
          <t>initial_outreach</t>
        </is>
      </c>
      <c r="F53" s="2" t="inlineStr">
        <is>
          <t>There was an account for outreach. Operation 35 contact (Nick's list) assigned 7/22; no movement past initial outreach. Not discussed on 9/28 call; assume deprioritized.</t>
        </is>
      </c>
    </row>
    <row r="54">
      <c r="A54" s="2" t="inlineStr">
        <is>
          <t>Cravath, Swaine &amp; Moore LLP</t>
        </is>
      </c>
      <c r="B54" s="2" t="inlineStr">
        <is>
          <t>No</t>
        </is>
      </c>
      <c r="C54" s="2" t="inlineStr">
        <is>
          <t>Damon Kornhauser</t>
        </is>
      </c>
      <c r="D54" s="2" t="n">
        <v>1</v>
      </c>
      <c r="E54" s="2" t="inlineStr">
        <is>
          <t>initial_outreach</t>
        </is>
      </c>
      <c r="F54" s="2" t="inlineStr">
        <is>
          <t>There was an account for outreach. Operation 35 contact (Nick's list) assigned 7/22; no movement past initial outreach. Not discussed on 9/28 call; assume deprioritized.</t>
        </is>
      </c>
    </row>
    <row r="55">
      <c r="A55" s="2" t="inlineStr">
        <is>
          <t>Credit Karma</t>
        </is>
      </c>
      <c r="B55" s="2" t="inlineStr">
        <is>
          <t>No</t>
        </is>
      </c>
      <c r="C55" s="2" t="inlineStr">
        <is>
          <t>Damon Kornhauser</t>
        </is>
      </c>
      <c r="D55" s="2" t="n">
        <v>1</v>
      </c>
      <c r="E55" s="2" t="inlineStr">
        <is>
          <t>initial_outreach</t>
        </is>
      </c>
      <c r="F55" s="2" t="inlineStr">
        <is>
          <t>There was an account for outreach. Operation 35 contact (Nick's list) assigned 7/22; no movement past initial outreach. Not discussed on 9/28 call; assume deprioritized.</t>
        </is>
      </c>
    </row>
    <row r="56">
      <c r="A56" s="2" t="inlineStr">
        <is>
          <t>CUNY (incl. Hostos CC)</t>
        </is>
      </c>
      <c r="B56" s="2" t="inlineStr">
        <is>
          <t>No</t>
        </is>
      </c>
      <c r="C56" s="2" t="inlineStr">
        <is>
          <t>Damon Kornhauser</t>
        </is>
      </c>
      <c r="D56" s="2" t="n">
        <v>4</v>
      </c>
      <c r="E56" s="2" t="inlineStr">
        <is>
          <t>initial_outreach</t>
        </is>
      </c>
      <c r="F56" s="2" t="inlineStr">
        <is>
          <t>There was an account for outreach. Operation 35 contact (Nick's list) assigned 7/22; no movement past initial outreach. Not discussed on 9/28 call; assume deprioritized.</t>
        </is>
      </c>
    </row>
    <row r="57">
      <c r="A57" s="2" t="inlineStr">
        <is>
          <t>DeAngelo Marine Exhaust</t>
        </is>
      </c>
      <c r="B57" s="2" t="inlineStr">
        <is>
          <t>No</t>
        </is>
      </c>
      <c r="C57" s="2" t="inlineStr">
        <is>
          <t>Damon Kornhauser</t>
        </is>
      </c>
      <c r="D57" s="2" t="n">
        <v>1</v>
      </c>
      <c r="E57" s="2" t="inlineStr">
        <is>
          <t>initial_outreach</t>
        </is>
      </c>
      <c r="F57" s="2" t="inlineStr">
        <is>
          <t>There was an account for outreach. Operation 35 contact (Nick's list) assigned 7/22; no movement past initial outreach. Not discussed on 9/28 call; assume deprioritized.</t>
        </is>
      </c>
    </row>
    <row r="58">
      <c r="A58" s="2" t="inlineStr">
        <is>
          <t>Decode Miami</t>
        </is>
      </c>
      <c r="B58" s="2" t="inlineStr">
        <is>
          <t>No</t>
        </is>
      </c>
      <c r="C58" s="2" t="inlineStr">
        <is>
          <t>Damon Kornhauser</t>
        </is>
      </c>
      <c r="D58" s="2" t="n">
        <v>1</v>
      </c>
      <c r="E58" s="2" t="inlineStr">
        <is>
          <t>initial_outreach</t>
        </is>
      </c>
      <c r="F58" s="2" t="inlineStr">
        <is>
          <t>There was an account for outreach. Operation 35 contact (Nick's list) assigned 7/22; no movement past initial outreach. Not discussed on 9/28 call; assume deprioritized.</t>
        </is>
      </c>
    </row>
    <row r="59">
      <c r="A59" s="2" t="inlineStr">
        <is>
          <t>Democracy Prep Public Schools</t>
        </is>
      </c>
      <c r="B59" s="2" t="inlineStr">
        <is>
          <t>No</t>
        </is>
      </c>
      <c r="C59" s="2" t="inlineStr">
        <is>
          <t>Damon Kornhauser</t>
        </is>
      </c>
      <c r="D59" s="2" t="n">
        <v>1</v>
      </c>
      <c r="E59" s="2" t="inlineStr">
        <is>
          <t>initial_outreach</t>
        </is>
      </c>
      <c r="F59" s="2" t="inlineStr">
        <is>
          <t>There was an account for outreach. Operation 35 contact (Nick's list) assigned 7/22; no movement past initial outreach. Not discussed on 9/28 call; assume deprioritized.</t>
        </is>
      </c>
    </row>
    <row r="60">
      <c r="A60" s="2" t="inlineStr">
        <is>
          <t>Dialpad</t>
        </is>
      </c>
      <c r="B60" s="2" t="inlineStr">
        <is>
          <t>No</t>
        </is>
      </c>
      <c r="C60" s="2" t="inlineStr">
        <is>
          <t>Damon Kornhauser</t>
        </is>
      </c>
      <c r="D60" s="2" t="n">
        <v>1</v>
      </c>
      <c r="E60" s="2" t="inlineStr">
        <is>
          <t>initial_outreach</t>
        </is>
      </c>
      <c r="F60" s="2" t="inlineStr">
        <is>
          <t>There was an account for outreach. Operation 35 contact (Nick's list) assigned 7/22; no movement past initial outreach. Not discussed on 9/28 call; assume deprioritized.</t>
        </is>
      </c>
    </row>
    <row r="61">
      <c r="A61" s="2" t="inlineStr">
        <is>
          <t>Digitas North America</t>
        </is>
      </c>
      <c r="B61" s="2" t="inlineStr">
        <is>
          <t>No</t>
        </is>
      </c>
      <c r="C61" s="2" t="inlineStr">
        <is>
          <t>Damon Kornhauser</t>
        </is>
      </c>
      <c r="D61" s="2" t="n">
        <v>1</v>
      </c>
      <c r="E61" s="2" t="inlineStr">
        <is>
          <t>initial_outreach</t>
        </is>
      </c>
      <c r="F61" s="2" t="inlineStr">
        <is>
          <t>There was an account for outreach. Operation 35 contact (Nick's list) assigned 7/22; no movement past initial outreach. Not discussed on 9/28 call; assume deprioritized.</t>
        </is>
      </c>
    </row>
    <row r="62">
      <c r="A62" s="2" t="inlineStr">
        <is>
          <t>Dow Jones</t>
        </is>
      </c>
      <c r="B62" s="2" t="inlineStr">
        <is>
          <t>No</t>
        </is>
      </c>
      <c r="C62" s="2" t="inlineStr">
        <is>
          <t>Damon Kornhauser</t>
        </is>
      </c>
      <c r="D62" s="2" t="n">
        <v>1</v>
      </c>
      <c r="E62" s="2" t="inlineStr">
        <is>
          <t>initial_outreach</t>
        </is>
      </c>
      <c r="F62" s="2" t="inlineStr">
        <is>
          <t>There was an account for outreach. Operation 35 contact (Nick's list) assigned 7/22; no movement past initial outreach. Not discussed on 9/28 call; assume deprioritized.</t>
        </is>
      </c>
    </row>
    <row r="63">
      <c r="A63" s="2" t="inlineStr">
        <is>
          <t>Downtown Veterinary Medical Hospitals</t>
        </is>
      </c>
      <c r="B63" s="2" t="inlineStr">
        <is>
          <t>No</t>
        </is>
      </c>
      <c r="C63" s="2" t="inlineStr">
        <is>
          <t>Damon Kornhauser</t>
        </is>
      </c>
      <c r="D63" s="2" t="n">
        <v>1</v>
      </c>
      <c r="E63" s="2" t="inlineStr">
        <is>
          <t>initial_outreach</t>
        </is>
      </c>
      <c r="F63" s="2" t="inlineStr">
        <is>
          <t>There was an account for outreach. Operation 35 contact (Nick's list) assigned 7/22; no movement past initial outreach. Not discussed on 9/28 call; assume deprioritized.</t>
        </is>
      </c>
    </row>
    <row r="64">
      <c r="A64" s="2" t="inlineStr">
        <is>
          <t>DREAM (formerly Harlem RBI)</t>
        </is>
      </c>
      <c r="B64" s="2" t="inlineStr">
        <is>
          <t>No</t>
        </is>
      </c>
      <c r="C64" s="2" t="inlineStr">
        <is>
          <t>Damon Kornhauser</t>
        </is>
      </c>
      <c r="D64" s="2" t="n">
        <v>1</v>
      </c>
      <c r="E64" s="2" t="inlineStr">
        <is>
          <t>initial_outreach</t>
        </is>
      </c>
      <c r="F64" s="2" t="inlineStr">
        <is>
          <t>There was an account for outreach. Operation 35 contact (Nick's list) assigned 7/22; no movement past initial outreach. Not discussed on 9/28 call; assume deprioritized.</t>
        </is>
      </c>
    </row>
    <row r="65">
      <c r="A65" s="2" t="inlineStr">
        <is>
          <t>Eastchester Rehabilitation and Health Care Center</t>
        </is>
      </c>
      <c r="B65" s="2" t="inlineStr">
        <is>
          <t>No</t>
        </is>
      </c>
      <c r="C65" s="2" t="inlineStr">
        <is>
          <t>Damon Kornhauser</t>
        </is>
      </c>
      <c r="D65" s="2" t="n">
        <v>1</v>
      </c>
      <c r="E65" s="2" t="inlineStr">
        <is>
          <t>initial_outreach</t>
        </is>
      </c>
      <c r="F65" s="2" t="inlineStr">
        <is>
          <t>There was an account for outreach. Operation 35 contact (Nick's list) assigned 7/22; no movement past initial outreach. Not discussed on 9/28 call; assume deprioritized.</t>
        </is>
      </c>
    </row>
    <row r="66">
      <c r="A66" s="2" t="inlineStr">
        <is>
          <t>EDTECH WEEK</t>
        </is>
      </c>
      <c r="B66" s="2" t="inlineStr">
        <is>
          <t>No</t>
        </is>
      </c>
      <c r="C66" s="2" t="inlineStr">
        <is>
          <t>Damon Kornhauser</t>
        </is>
      </c>
      <c r="D66" s="2" t="n">
        <v>1</v>
      </c>
      <c r="E66" s="2" t="inlineStr">
        <is>
          <t>initial_outreach</t>
        </is>
      </c>
      <c r="F66" s="2" t="inlineStr">
        <is>
          <t>There was an account for outreach. Operation 35 contact (Nick's list) assigned 7/22; no movement past initial outreach. Not discussed on 9/28 call; assume deprioritized.</t>
        </is>
      </c>
    </row>
    <row r="67">
      <c r="A67" s="2" t="inlineStr">
        <is>
          <t>Education Cannot Wait (ECW)</t>
        </is>
      </c>
      <c r="B67" s="2" t="inlineStr">
        <is>
          <t>No</t>
        </is>
      </c>
      <c r="C67" s="2" t="inlineStr">
        <is>
          <t>Damon Kornhauser</t>
        </is>
      </c>
      <c r="D67" s="2" t="n">
        <v>1</v>
      </c>
      <c r="E67" s="2" t="inlineStr">
        <is>
          <t>initial_outreach</t>
        </is>
      </c>
      <c r="F67" s="2" t="inlineStr">
        <is>
          <t>There was an account for outreach. Operation 35 contact (Nick's list) assigned 7/22; no movement past initial outreach. Not discussed on 9/28 call; assume deprioritized.</t>
        </is>
      </c>
    </row>
    <row r="68">
      <c r="A68" s="2" t="inlineStr">
        <is>
          <t>EliseAI</t>
        </is>
      </c>
      <c r="B68" s="2" t="inlineStr">
        <is>
          <t>No</t>
        </is>
      </c>
      <c r="C68" s="2" t="inlineStr">
        <is>
          <t>Damon Kornhauser</t>
        </is>
      </c>
      <c r="D68" s="2" t="n">
        <v>1</v>
      </c>
      <c r="E68" s="2" t="inlineStr">
        <is>
          <t>initial_outreach</t>
        </is>
      </c>
      <c r="F68" s="2" t="inlineStr">
        <is>
          <t>There was an account for outreach. Operation 35 contact (Nick's list) assigned 7/22; no movement past initial outreach. Not discussed on 9/28 call; assume deprioritized.</t>
        </is>
      </c>
    </row>
    <row r="69">
      <c r="A69" s="2" t="inlineStr">
        <is>
          <t>Empatico</t>
        </is>
      </c>
      <c r="B69" s="2" t="inlineStr">
        <is>
          <t>No</t>
        </is>
      </c>
      <c r="C69" s="2" t="inlineStr">
        <is>
          <t>Damon Kornhauser</t>
        </is>
      </c>
      <c r="D69" s="2" t="n">
        <v>1</v>
      </c>
      <c r="E69" s="2" t="inlineStr">
        <is>
          <t>initial_outreach</t>
        </is>
      </c>
      <c r="F69" s="2" t="inlineStr">
        <is>
          <t>There was an account for outreach. Operation 35 contact (Nick's list) assigned 7/22; no movement past initial outreach. Not discussed on 9/28 call; assume deprioritized.</t>
        </is>
      </c>
    </row>
    <row r="70">
      <c r="A70" s="2" t="inlineStr">
        <is>
          <t>Equinox</t>
        </is>
      </c>
      <c r="B70" s="2" t="inlineStr">
        <is>
          <t>No</t>
        </is>
      </c>
      <c r="C70" s="2" t="inlineStr">
        <is>
          <t>Damon Kornhauser</t>
        </is>
      </c>
      <c r="D70" s="2" t="n">
        <v>1</v>
      </c>
      <c r="E70" s="2" t="inlineStr">
        <is>
          <t>initial_outreach</t>
        </is>
      </c>
      <c r="F70" s="2" t="inlineStr">
        <is>
          <t>There was an account for outreach. Operation 35 contact (Nick's list) assigned 7/22; no movement past initial outreach. Not discussed on 9/28 call; assume deprioritized.</t>
        </is>
      </c>
    </row>
    <row r="71">
      <c r="A71" s="2" t="inlineStr">
        <is>
          <t>Etsy</t>
        </is>
      </c>
      <c r="B71" s="2" t="inlineStr">
        <is>
          <t>No</t>
        </is>
      </c>
      <c r="C71" s="2" t="inlineStr">
        <is>
          <t>Damon Kornhauser</t>
        </is>
      </c>
      <c r="D71" s="2" t="n">
        <v>1</v>
      </c>
      <c r="E71" s="2" t="inlineStr">
        <is>
          <t>initial_outreach</t>
        </is>
      </c>
      <c r="F71" s="2" t="inlineStr">
        <is>
          <t>There was an account for outreach. Operation 35 contact (Nick's list) assigned 7/22; no movement past initial outreach. Not discussed on 9/28 call; assume deprioritized.</t>
        </is>
      </c>
    </row>
    <row r="72">
      <c r="A72" s="2" t="inlineStr">
        <is>
          <t>FleetWit</t>
        </is>
      </c>
      <c r="B72" s="2" t="inlineStr">
        <is>
          <t>No</t>
        </is>
      </c>
      <c r="C72" s="2" t="inlineStr">
        <is>
          <t>Damon Kornhauser</t>
        </is>
      </c>
      <c r="D72" s="2" t="n">
        <v>1</v>
      </c>
      <c r="E72" s="2" t="inlineStr">
        <is>
          <t>initial_outreach</t>
        </is>
      </c>
      <c r="F72" s="2" t="inlineStr">
        <is>
          <t>There was an account for outreach. Operation 35 contact (Nick's list) assigned 7/22; no movement past initial outreach. Not discussed on 9/28 call; assume deprioritized.</t>
        </is>
      </c>
    </row>
    <row r="73">
      <c r="A73" s="2" t="inlineStr">
        <is>
          <t>Flowcode</t>
        </is>
      </c>
      <c r="B73" s="2" t="inlineStr">
        <is>
          <t>No</t>
        </is>
      </c>
      <c r="C73" s="2" t="inlineStr">
        <is>
          <t>Damon Kornhauser</t>
        </is>
      </c>
      <c r="D73" s="2" t="n">
        <v>1</v>
      </c>
      <c r="E73" s="2" t="inlineStr">
        <is>
          <t>initial_outreach</t>
        </is>
      </c>
      <c r="F73" s="2" t="inlineStr">
        <is>
          <t>There was an account for outreach. Operation 35 contact (Nick's list) assigned 7/22; no movement past initial outreach. Not discussed on 9/28 call; assume deprioritized.</t>
        </is>
      </c>
    </row>
    <row r="74">
      <c r="A74" s="2" t="inlineStr">
        <is>
          <t>Foursquare</t>
        </is>
      </c>
      <c r="B74" s="2" t="inlineStr">
        <is>
          <t>No</t>
        </is>
      </c>
      <c r="C74" s="2" t="inlineStr">
        <is>
          <t>Damon Kornhauser</t>
        </is>
      </c>
      <c r="D74" s="2" t="n">
        <v>2</v>
      </c>
      <c r="E74" s="2" t="inlineStr">
        <is>
          <t>initial_outreach</t>
        </is>
      </c>
      <c r="F74" s="2" t="inlineStr">
        <is>
          <t>There was an account for outreach. Operation 35 contact (Nick's list) assigned 7/22; no movement past initial outreach. Not discussed on 9/28 call; assume deprioritized.</t>
        </is>
      </c>
    </row>
    <row r="75">
      <c r="A75" s="2" t="inlineStr">
        <is>
          <t>Fueled</t>
        </is>
      </c>
      <c r="B75" s="2" t="inlineStr">
        <is>
          <t>No</t>
        </is>
      </c>
      <c r="C75" s="2" t="inlineStr">
        <is>
          <t>Damon Kornhauser</t>
        </is>
      </c>
      <c r="D75" s="2" t="n">
        <v>2</v>
      </c>
      <c r="E75" s="2" t="inlineStr">
        <is>
          <t>initial_outreach</t>
        </is>
      </c>
      <c r="F75" s="2" t="inlineStr">
        <is>
          <t>There was an account for outreach. Operation 35 contact (Nick's list) assigned 7/22; no movement past initial outreach. Not discussed on 9/28 call; assume deprioritized.</t>
        </is>
      </c>
    </row>
    <row r="76">
      <c r="A76" s="2" t="inlineStr">
        <is>
          <t>Future in Bloom</t>
        </is>
      </c>
      <c r="B76" s="2" t="inlineStr">
        <is>
          <t>No</t>
        </is>
      </c>
      <c r="C76" s="2" t="inlineStr">
        <is>
          <t>Damon Kornhauser</t>
        </is>
      </c>
      <c r="D76" s="2" t="n">
        <v>1</v>
      </c>
      <c r="E76" s="2" t="inlineStr">
        <is>
          <t>initial_outreach</t>
        </is>
      </c>
      <c r="F76" s="2" t="inlineStr">
        <is>
          <t>There was an account for outreach. Operation 35 contact (Nick's list) assigned 7/22; no movement past initial outreach. Not discussed on 9/28 call; assume deprioritized.</t>
        </is>
      </c>
    </row>
    <row r="77">
      <c r="A77" s="2" t="inlineStr">
        <is>
          <t>GameChanger</t>
        </is>
      </c>
      <c r="B77" s="2" t="inlineStr">
        <is>
          <t>No</t>
        </is>
      </c>
      <c r="C77" s="2" t="inlineStr">
        <is>
          <t>Damon Kornhauser</t>
        </is>
      </c>
      <c r="D77" s="2" t="n">
        <v>1</v>
      </c>
      <c r="E77" s="2" t="inlineStr">
        <is>
          <t>initial_outreach</t>
        </is>
      </c>
      <c r="F77" s="2" t="inlineStr">
        <is>
          <t>There was an account for outreach. Operation 35 contact (Nick's list) assigned 7/22; no movement past initial outreach. Not discussed on 9/28 call; assume deprioritized.</t>
        </is>
      </c>
    </row>
    <row r="78">
      <c r="A78" s="2" t="inlineStr">
        <is>
          <t>Global Reporting Initiative (GRI)</t>
        </is>
      </c>
      <c r="B78" s="2" t="inlineStr">
        <is>
          <t>No</t>
        </is>
      </c>
      <c r="C78" s="2" t="inlineStr">
        <is>
          <t>Damon Kornhauser</t>
        </is>
      </c>
      <c r="D78" s="2" t="n">
        <v>1</v>
      </c>
      <c r="E78" s="2" t="inlineStr">
        <is>
          <t>initial_outreach</t>
        </is>
      </c>
      <c r="F78" s="2" t="inlineStr">
        <is>
          <t>There was an account for outreach. Operation 35 contact (Nick's list) assigned 7/22; no movement past initial outreach. Not discussed on 9/28 call; assume deprioritized.</t>
        </is>
      </c>
    </row>
    <row r="79">
      <c r="A79" s="2" t="inlineStr">
        <is>
          <t>Goldfarb Properties</t>
        </is>
      </c>
      <c r="B79" s="2" t="inlineStr">
        <is>
          <t>No</t>
        </is>
      </c>
      <c r="C79" s="2" t="inlineStr">
        <is>
          <t>Damon Kornhauser</t>
        </is>
      </c>
      <c r="D79" s="2" t="n">
        <v>1</v>
      </c>
      <c r="E79" s="2" t="inlineStr">
        <is>
          <t>initial_outreach</t>
        </is>
      </c>
      <c r="F79" s="2" t="inlineStr">
        <is>
          <t>There was an account for outreach. Operation 35 contact (Nick's list) assigned 7/22; no movement past initial outreach. Not discussed on 9/28 call; assume deprioritized.</t>
        </is>
      </c>
    </row>
    <row r="80">
      <c r="A80" s="2" t="inlineStr">
        <is>
          <t>Grailed</t>
        </is>
      </c>
      <c r="B80" s="2" t="inlineStr">
        <is>
          <t>No</t>
        </is>
      </c>
      <c r="C80" s="2" t="inlineStr">
        <is>
          <t>Damon Kornhauser</t>
        </is>
      </c>
      <c r="D80" s="2" t="n">
        <v>1</v>
      </c>
      <c r="E80" s="2" t="inlineStr">
        <is>
          <t>initial_outreach</t>
        </is>
      </c>
      <c r="F80" s="2" t="inlineStr">
        <is>
          <t>There was an account for outreach. Operation 35 contact (Nick's list) assigned 7/22; no movement past initial outreach. Not discussed on 9/28 call; assume deprioritized.</t>
        </is>
      </c>
    </row>
    <row r="81">
      <c r="A81" s="2" t="inlineStr">
        <is>
          <t>Healthie</t>
        </is>
      </c>
      <c r="B81" s="2" t="inlineStr">
        <is>
          <t>No</t>
        </is>
      </c>
      <c r="C81" s="2" t="inlineStr">
        <is>
          <t>Damon Kornhauser</t>
        </is>
      </c>
      <c r="D81" s="2" t="n">
        <v>1</v>
      </c>
      <c r="E81" s="2" t="inlineStr">
        <is>
          <t>initial_outreach</t>
        </is>
      </c>
      <c r="F81" s="2" t="inlineStr">
        <is>
          <t>There was an account for outreach. Operation 35 contact (Nick's list) assigned 7/22; no movement past initial outreach. Not discussed on 9/28 call; assume deprioritized.</t>
        </is>
      </c>
    </row>
    <row r="82">
      <c r="A82" s="2" t="inlineStr">
        <is>
          <t>HeliNY</t>
        </is>
      </c>
      <c r="B82" s="2" t="inlineStr">
        <is>
          <t>No</t>
        </is>
      </c>
      <c r="C82" s="2" t="inlineStr">
        <is>
          <t>Damon Kornhauser</t>
        </is>
      </c>
      <c r="D82" s="2" t="n">
        <v>1</v>
      </c>
      <c r="E82" s="2" t="inlineStr">
        <is>
          <t>initial_outreach</t>
        </is>
      </c>
      <c r="F82" s="2" t="inlineStr">
        <is>
          <t>There was an account for outreach. Operation 35 contact (Nick's list) assigned 7/22; no movement past initial outreach. Not discussed on 9/28 call; assume deprioritized.</t>
        </is>
      </c>
    </row>
    <row r="83">
      <c r="A83" s="2" t="inlineStr">
        <is>
          <t>HIFI</t>
        </is>
      </c>
      <c r="B83" s="2" t="inlineStr">
        <is>
          <t>No</t>
        </is>
      </c>
      <c r="C83" s="2" t="inlineStr">
        <is>
          <t>Damon Kornhauser</t>
        </is>
      </c>
      <c r="D83" s="2" t="n">
        <v>1</v>
      </c>
      <c r="E83" s="2" t="inlineStr">
        <is>
          <t>initial_outreach</t>
        </is>
      </c>
      <c r="F83" s="2" t="inlineStr">
        <is>
          <t>There was an account for outreach. Operation 35 contact (Nick's list) assigned 7/22; no movement past initial outreach. Not discussed on 9/28 call; assume deprioritized.</t>
        </is>
      </c>
    </row>
    <row r="84">
      <c r="A84" s="2" t="inlineStr">
        <is>
          <t>Highlight AI</t>
        </is>
      </c>
      <c r="B84" s="2" t="inlineStr">
        <is>
          <t>No</t>
        </is>
      </c>
      <c r="C84" s="2" t="inlineStr">
        <is>
          <t>Damon Kornhauser</t>
        </is>
      </c>
      <c r="D84" s="2" t="n">
        <v>1</v>
      </c>
      <c r="E84" s="2" t="inlineStr">
        <is>
          <t>initial_outreach</t>
        </is>
      </c>
      <c r="F84" s="2" t="inlineStr">
        <is>
          <t>There was an account for outreach. Operation 35 contact (Nick's list) assigned 7/22; no movement past initial outreach. Not discussed on 9/28 call; assume deprioritized.</t>
        </is>
      </c>
    </row>
    <row r="85">
      <c r="A85" s="2" t="inlineStr">
        <is>
          <t>Home Depot</t>
        </is>
      </c>
      <c r="B85" s="2" t="inlineStr">
        <is>
          <t>No</t>
        </is>
      </c>
      <c r="C85" s="2" t="inlineStr">
        <is>
          <t>Damon Kornhauser</t>
        </is>
      </c>
      <c r="D85" s="2" t="n">
        <v>3</v>
      </c>
      <c r="E85" s="2" t="inlineStr">
        <is>
          <t>initial_outreach</t>
        </is>
      </c>
      <c r="F85" s="2" t="inlineStr">
        <is>
          <t>There was an account for outreach. Operation 35 contact (Nick's list) assigned 7/22; no movement past initial outreach. Not discussed on 9/28 call; assume deprioritized.</t>
        </is>
      </c>
    </row>
    <row r="86">
      <c r="A86" s="2" t="inlineStr">
        <is>
          <t>House of Blues</t>
        </is>
      </c>
      <c r="B86" s="2" t="inlineStr">
        <is>
          <t>No</t>
        </is>
      </c>
      <c r="C86" s="2" t="inlineStr">
        <is>
          <t>Damon Kornhauser</t>
        </is>
      </c>
      <c r="D86" s="2" t="n">
        <v>1</v>
      </c>
      <c r="E86" s="2" t="inlineStr">
        <is>
          <t>initial_outreach</t>
        </is>
      </c>
      <c r="F86" s="2" t="inlineStr">
        <is>
          <t>There was an account for outreach. Operation 35 contact (Nick's list) assigned 7/22; no movement past initial outreach. Not discussed on 9/28 call; assume deprioritized.</t>
        </is>
      </c>
    </row>
    <row r="87">
      <c r="A87" s="2" t="inlineStr">
        <is>
          <t>H&amp;R Block</t>
        </is>
      </c>
      <c r="B87" s="2" t="inlineStr">
        <is>
          <t>No</t>
        </is>
      </c>
      <c r="C87" s="2" t="inlineStr">
        <is>
          <t>Damon Kornhauser</t>
        </is>
      </c>
      <c r="D87" s="2" t="n">
        <v>2</v>
      </c>
      <c r="E87" s="2" t="inlineStr">
        <is>
          <t>initial_outreach</t>
        </is>
      </c>
      <c r="F87" s="2" t="inlineStr">
        <is>
          <t>There was an account for outreach. Operation 35 contact (Nick's list) assigned 7/22; no movement past initial outreach. Not discussed on 9/28 call; assume deprioritized.</t>
        </is>
      </c>
    </row>
    <row r="88">
      <c r="A88" s="2" t="inlineStr">
        <is>
          <t>iHeartRadio</t>
        </is>
      </c>
      <c r="B88" s="2" t="inlineStr">
        <is>
          <t>No</t>
        </is>
      </c>
      <c r="C88" s="2" t="inlineStr">
        <is>
          <t>Damon Kornhauser</t>
        </is>
      </c>
      <c r="D88" s="2" t="n">
        <v>1</v>
      </c>
      <c r="E88" s="2" t="inlineStr">
        <is>
          <t>initial_outreach</t>
        </is>
      </c>
      <c r="F88" s="2" t="inlineStr">
        <is>
          <t>There was an account for outreach. Operation 35 contact (Nick's list) assigned 7/22; no movement past initial outreach. Not discussed on 9/28 call; assume deprioritized.</t>
        </is>
      </c>
    </row>
    <row r="89">
      <c r="A89" s="2" t="inlineStr">
        <is>
          <t>Infor</t>
        </is>
      </c>
      <c r="B89" s="2" t="inlineStr">
        <is>
          <t>No</t>
        </is>
      </c>
      <c r="C89" s="2" t="inlineStr">
        <is>
          <t>Damon Kornhauser</t>
        </is>
      </c>
      <c r="D89" s="2" t="n">
        <v>1</v>
      </c>
      <c r="E89" s="2" t="inlineStr">
        <is>
          <t>initial_outreach</t>
        </is>
      </c>
      <c r="F89" s="2" t="inlineStr">
        <is>
          <t>There was an account for outreach. Operation 35 contact (Nick's list) assigned 7/22; no movement past initial outreach. Not discussed on 9/28 call; assume deprioritized.</t>
        </is>
      </c>
    </row>
    <row r="90">
      <c r="A90" s="2" t="inlineStr">
        <is>
          <t>International College of Dentists</t>
        </is>
      </c>
      <c r="B90" s="2" t="inlineStr">
        <is>
          <t>No</t>
        </is>
      </c>
      <c r="C90" s="2" t="inlineStr">
        <is>
          <t>Damon Kornhauser</t>
        </is>
      </c>
      <c r="D90" s="2" t="n">
        <v>1</v>
      </c>
      <c r="E90" s="2" t="inlineStr">
        <is>
          <t>initial_outreach</t>
        </is>
      </c>
      <c r="F90" s="2" t="inlineStr">
        <is>
          <t>There was an account for outreach. Operation 35 contact (Nick's list) assigned 7/22; no movement past initial outreach. Not discussed on 9/28 call; assume deprioritized.</t>
        </is>
      </c>
    </row>
    <row r="91">
      <c r="A91" s="2" t="inlineStr">
        <is>
          <t>Justworks</t>
        </is>
      </c>
      <c r="B91" s="2" t="inlineStr">
        <is>
          <t>No</t>
        </is>
      </c>
      <c r="C91" s="2" t="inlineStr">
        <is>
          <t>Damon Kornhauser</t>
        </is>
      </c>
      <c r="D91" s="2" t="n">
        <v>1</v>
      </c>
      <c r="E91" s="2" t="inlineStr">
        <is>
          <t>initial_outreach</t>
        </is>
      </c>
      <c r="F91" s="2" t="inlineStr">
        <is>
          <t>There was an account for outreach. Operation 35 contact (Nick's list) assigned 7/22; no movement past initial outreach. Not discussed on 9/28 call; assume deprioritized.</t>
        </is>
      </c>
    </row>
    <row r="92">
      <c r="A92" s="2" t="inlineStr">
        <is>
          <t>JW Player</t>
        </is>
      </c>
      <c r="B92" s="2" t="inlineStr">
        <is>
          <t>No</t>
        </is>
      </c>
      <c r="C92" s="2" t="inlineStr">
        <is>
          <t>Damon Kornhauser</t>
        </is>
      </c>
      <c r="D92" s="2" t="n">
        <v>1</v>
      </c>
      <c r="E92" s="2" t="inlineStr">
        <is>
          <t>initial_outreach</t>
        </is>
      </c>
      <c r="F92" s="2" t="inlineStr">
        <is>
          <t>There was an account for outreach. Operation 35 contact (Nick's list) assigned 7/22; no movement past initial outreach. Not discussed on 9/28 call; assume deprioritized.</t>
        </is>
      </c>
    </row>
    <row r="93">
      <c r="A93" s="2" t="inlineStr">
        <is>
          <t>Khan Academy</t>
        </is>
      </c>
      <c r="B93" s="2" t="inlineStr">
        <is>
          <t>No</t>
        </is>
      </c>
      <c r="C93" s="2" t="inlineStr">
        <is>
          <t>Damon Kornhauser</t>
        </is>
      </c>
      <c r="D93" s="2" t="n">
        <v>1</v>
      </c>
      <c r="E93" s="2" t="inlineStr">
        <is>
          <t>initial_outreach</t>
        </is>
      </c>
      <c r="F93" s="2" t="inlineStr">
        <is>
          <t>There was an account for outreach. Operation 35 contact (Nick's list) assigned 7/22; no movement past initial outreach. Not discussed on 9/28 call; assume deprioritized.</t>
        </is>
      </c>
    </row>
    <row r="94">
      <c r="A94" s="2" t="inlineStr">
        <is>
          <t>Kong (konghq)</t>
        </is>
      </c>
      <c r="B94" s="2" t="inlineStr">
        <is>
          <t>No</t>
        </is>
      </c>
      <c r="C94" s="2" t="inlineStr">
        <is>
          <t>Damon Kornhauser</t>
        </is>
      </c>
      <c r="D94" s="2" t="n">
        <v>1</v>
      </c>
      <c r="E94" s="2" t="inlineStr">
        <is>
          <t>initial_outreach</t>
        </is>
      </c>
      <c r="F94" s="2" t="inlineStr">
        <is>
          <t>There was an account for outreach. Operation 35 contact (Nick's list) assigned 7/22; no movement past initial outreach. Not discussed on 9/28 call; assume deprioritized.</t>
        </is>
      </c>
    </row>
    <row r="95">
      <c r="A95" s="2" t="inlineStr">
        <is>
          <t>Kyndryl</t>
        </is>
      </c>
      <c r="B95" s="2" t="inlineStr">
        <is>
          <t>No</t>
        </is>
      </c>
      <c r="C95" s="2" t="inlineStr">
        <is>
          <t>Damon Kornhauser</t>
        </is>
      </c>
      <c r="D95" s="2" t="n">
        <v>1</v>
      </c>
      <c r="E95" s="2" t="inlineStr">
        <is>
          <t>initial_outreach</t>
        </is>
      </c>
      <c r="F95" s="2" t="inlineStr">
        <is>
          <t>There was an account for outreach. Operation 35 contact (Nick's list) assigned 7/22; no movement past initial outreach. Not discussed on 9/28 call; assume deprioritized.</t>
        </is>
      </c>
    </row>
    <row r="96">
      <c r="A96" s="2" t="inlineStr">
        <is>
          <t>Lantern Community Services</t>
        </is>
      </c>
      <c r="B96" s="2" t="inlineStr">
        <is>
          <t>No</t>
        </is>
      </c>
      <c r="C96" s="2" t="inlineStr">
        <is>
          <t>Damon Kornhauser</t>
        </is>
      </c>
      <c r="D96" s="2" t="n">
        <v>1</v>
      </c>
      <c r="E96" s="2" t="inlineStr">
        <is>
          <t>initial_outreach</t>
        </is>
      </c>
      <c r="F96" s="2" t="inlineStr">
        <is>
          <t>There was an account for outreach. Operation 35 contact (Nick's list) assigned 7/22; no movement past initial outreach. Not discussed on 9/28 call; assume deprioritized.</t>
        </is>
      </c>
    </row>
    <row r="97">
      <c r="A97" s="2" t="inlineStr">
        <is>
          <t>LinkedIn</t>
        </is>
      </c>
      <c r="B97" s="2" t="inlineStr">
        <is>
          <t>No</t>
        </is>
      </c>
      <c r="C97" s="2" t="inlineStr">
        <is>
          <t>Damon Kornhauser</t>
        </is>
      </c>
      <c r="D97" s="2" t="n">
        <v>4</v>
      </c>
      <c r="E97" s="2" t="inlineStr">
        <is>
          <t>initial_outreach</t>
        </is>
      </c>
      <c r="F97" s="2" t="inlineStr">
        <is>
          <t>There was an account for outreach. Operation 35 contact (Nick's list) assigned 7/22; no movement past initial outreach. Not discussed on 9/28 call; assume deprioritized.</t>
        </is>
      </c>
    </row>
    <row r="98">
      <c r="A98" s="2" t="inlineStr">
        <is>
          <t>Lobster Life Systems</t>
        </is>
      </c>
      <c r="B98" s="2" t="inlineStr">
        <is>
          <t>No</t>
        </is>
      </c>
      <c r="C98" s="2" t="inlineStr">
        <is>
          <t>Damon Kornhauser</t>
        </is>
      </c>
      <c r="D98" s="2" t="n">
        <v>1</v>
      </c>
      <c r="E98" s="2" t="inlineStr">
        <is>
          <t>initial_outreach</t>
        </is>
      </c>
      <c r="F98" s="2" t="inlineStr">
        <is>
          <t>There was an account for outreach. Operation 35 contact (Nick's list) assigned 7/22; no movement past initial outreach. Not discussed on 9/28 call; assume deprioritized.</t>
        </is>
      </c>
    </row>
    <row r="99">
      <c r="A99" s="2" t="inlineStr">
        <is>
          <t>L'Occitane en Provence</t>
        </is>
      </c>
      <c r="B99" s="2" t="inlineStr">
        <is>
          <t>No</t>
        </is>
      </c>
      <c r="C99" s="2" t="inlineStr">
        <is>
          <t>Damon Kornhauser</t>
        </is>
      </c>
      <c r="D99" s="2" t="n">
        <v>1</v>
      </c>
      <c r="E99" s="2" t="inlineStr">
        <is>
          <t>initial_outreach</t>
        </is>
      </c>
      <c r="F99" s="2" t="inlineStr">
        <is>
          <t>There was an account for outreach. Operation 35 contact (Nick's list) assigned 7/22; no movement past initial outreach. Not discussed on 9/28 call; assume deprioritized.</t>
        </is>
      </c>
    </row>
    <row r="100">
      <c r="A100" s="2" t="inlineStr">
        <is>
          <t>Lovely Nikki Skin Care</t>
        </is>
      </c>
      <c r="B100" s="2" t="inlineStr">
        <is>
          <t>No</t>
        </is>
      </c>
      <c r="C100" s="2" t="inlineStr">
        <is>
          <t>Damon Kornhauser</t>
        </is>
      </c>
      <c r="D100" s="2" t="n">
        <v>1</v>
      </c>
      <c r="E100" s="2" t="inlineStr">
        <is>
          <t>initial_outreach</t>
        </is>
      </c>
      <c r="F100" s="2" t="inlineStr">
        <is>
          <t>There was an account for outreach. Operation 35 contact (Nick's list) assigned 7/22; no movement past initial outreach. Not discussed on 9/28 call; assume deprioritized.</t>
        </is>
      </c>
    </row>
    <row r="101">
      <c r="A101" s="2" t="inlineStr">
        <is>
          <t>Madison Square Garden Entertainment</t>
        </is>
      </c>
      <c r="B101" s="2" t="inlineStr">
        <is>
          <t>No</t>
        </is>
      </c>
      <c r="C101" s="2" t="inlineStr">
        <is>
          <t>Damon Kornhauser</t>
        </is>
      </c>
      <c r="D101" s="2" t="n">
        <v>1</v>
      </c>
      <c r="E101" s="2" t="inlineStr">
        <is>
          <t>initial_outreach</t>
        </is>
      </c>
      <c r="F101" s="2" t="inlineStr">
        <is>
          <t>There was an account for outreach. Operation 35 contact (Nick's list) assigned 7/22; no movement past initial outreach. Not discussed on 9/28 call; assume deprioritized.</t>
        </is>
      </c>
    </row>
    <row r="102">
      <c r="A102" s="2" t="inlineStr">
        <is>
          <t>Mark43</t>
        </is>
      </c>
      <c r="B102" s="2" t="inlineStr">
        <is>
          <t>No</t>
        </is>
      </c>
      <c r="C102" s="2" t="inlineStr">
        <is>
          <t>Damon Kornhauser</t>
        </is>
      </c>
      <c r="D102" s="2" t="n">
        <v>1</v>
      </c>
      <c r="E102" s="2" t="inlineStr">
        <is>
          <t>initial_outreach</t>
        </is>
      </c>
      <c r="F102" s="2" t="inlineStr">
        <is>
          <t>There was an account for outreach. Operation 35 contact (Nick's list) assigned 7/22; no movement past initial outreach. Not discussed on 9/28 call; assume deprioritized.</t>
        </is>
      </c>
    </row>
    <row r="103">
      <c r="A103" s="2" t="inlineStr">
        <is>
          <t>Maximus</t>
        </is>
      </c>
      <c r="B103" s="2" t="inlineStr">
        <is>
          <t>No</t>
        </is>
      </c>
      <c r="C103" s="2" t="inlineStr">
        <is>
          <t>Damon Kornhauser</t>
        </is>
      </c>
      <c r="D103" s="2" t="n">
        <v>1</v>
      </c>
      <c r="E103" s="2" t="inlineStr">
        <is>
          <t>initial_outreach</t>
        </is>
      </c>
      <c r="F103" s="2" t="inlineStr">
        <is>
          <t>There was an account for outreach. Operation 35 contact (Nick's list) assigned 7/22; no movement past initial outreach. Not discussed on 9/28 call; assume deprioritized.</t>
        </is>
      </c>
    </row>
    <row r="104">
      <c r="A104" s="2" t="inlineStr">
        <is>
          <t>Medisys</t>
        </is>
      </c>
      <c r="B104" s="2" t="inlineStr">
        <is>
          <t>No</t>
        </is>
      </c>
      <c r="C104" s="2" t="inlineStr">
        <is>
          <t>Damon Kornhauser</t>
        </is>
      </c>
      <c r="D104" s="2" t="n">
        <v>1</v>
      </c>
      <c r="E104" s="2" t="inlineStr">
        <is>
          <t>initial_outreach</t>
        </is>
      </c>
      <c r="F104" s="2" t="inlineStr">
        <is>
          <t>There was an account for outreach. Operation 35 contact (Nick's list) assigned 7/22; no movement past initial outreach. Not discussed on 9/28 call; assume deprioritized.</t>
        </is>
      </c>
    </row>
    <row r="105">
      <c r="A105" s="2" t="inlineStr">
        <is>
          <t>Memorial Sloan Kettering Cancer Center</t>
        </is>
      </c>
      <c r="B105" s="2" t="inlineStr">
        <is>
          <t>No</t>
        </is>
      </c>
      <c r="C105" s="2" t="inlineStr">
        <is>
          <t>Damon Kornhauser</t>
        </is>
      </c>
      <c r="D105" s="2" t="n">
        <v>1</v>
      </c>
      <c r="E105" s="2" t="inlineStr">
        <is>
          <t>initial_outreach</t>
        </is>
      </c>
      <c r="F105" s="2" t="inlineStr">
        <is>
          <t>There was an account for outreach. Operation 35 contact (Nick's list) assigned 7/22; no movement past initial outreach. Not discussed on 9/28 call; assume deprioritized.</t>
        </is>
      </c>
    </row>
    <row r="106">
      <c r="A106" s="2" t="inlineStr">
        <is>
          <t>Mentor Me Collective</t>
        </is>
      </c>
      <c r="B106" s="2" t="inlineStr">
        <is>
          <t>No</t>
        </is>
      </c>
      <c r="C106" s="2" t="inlineStr">
        <is>
          <t>Damon Kornhauser</t>
        </is>
      </c>
      <c r="D106" s="2" t="n">
        <v>1</v>
      </c>
      <c r="E106" s="2" t="inlineStr">
        <is>
          <t>initial_outreach</t>
        </is>
      </c>
      <c r="F106" s="2" t="inlineStr">
        <is>
          <t>There was an account for outreach. Operation 35 contact (Nick's list) assigned 7/22; no movement past initial outreach. Not discussed on 9/28 call; assume deprioritized.</t>
        </is>
      </c>
    </row>
    <row r="107">
      <c r="A107" s="2" t="inlineStr">
        <is>
          <t>Mercor</t>
        </is>
      </c>
      <c r="B107" s="2" t="inlineStr">
        <is>
          <t>No</t>
        </is>
      </c>
      <c r="C107" s="2" t="inlineStr">
        <is>
          <t>Damon Kornhauser</t>
        </is>
      </c>
      <c r="D107" s="2" t="n">
        <v>1</v>
      </c>
      <c r="E107" s="2" t="inlineStr">
        <is>
          <t>initial_outreach</t>
        </is>
      </c>
      <c r="F107" s="2" t="inlineStr">
        <is>
          <t>There was an account for outreach. Operation 35 contact (Nick's list) assigned 7/22; no movement past initial outreach. Not discussed on 9/28 call; assume deprioritized.</t>
        </is>
      </c>
    </row>
    <row r="108">
      <c r="A108" s="2" t="inlineStr">
        <is>
          <t>Meta</t>
        </is>
      </c>
      <c r="B108" s="2" t="inlineStr">
        <is>
          <t>No</t>
        </is>
      </c>
      <c r="C108" s="2" t="inlineStr">
        <is>
          <t>Damon Kornhauser</t>
        </is>
      </c>
      <c r="D108" s="2" t="n">
        <v>2</v>
      </c>
      <c r="E108" s="2" t="inlineStr">
        <is>
          <t>initial_outreach</t>
        </is>
      </c>
      <c r="F108" s="2" t="inlineStr">
        <is>
          <t>There was an account for outreach. Operation 35 contact (Nick's list) assigned 7/22; no movement past initial outreach. Not discussed on 9/28 call; assume deprioritized.</t>
        </is>
      </c>
    </row>
    <row r="109">
      <c r="A109" s="2" t="inlineStr">
        <is>
          <t>Micro Center</t>
        </is>
      </c>
      <c r="B109" s="2" t="inlineStr">
        <is>
          <t>No</t>
        </is>
      </c>
      <c r="C109" s="2" t="inlineStr">
        <is>
          <t>Damon Kornhauser</t>
        </is>
      </c>
      <c r="D109" s="2" t="n">
        <v>1</v>
      </c>
      <c r="E109" s="2" t="inlineStr">
        <is>
          <t>initial_outreach</t>
        </is>
      </c>
      <c r="F109" s="2" t="inlineStr">
        <is>
          <t>There was an account for outreach. Operation 35 contact (Nick's list) assigned 7/22; no movement past initial outreach. Not discussed on 9/28 call; assume deprioritized.</t>
        </is>
      </c>
    </row>
    <row r="110">
      <c r="A110" s="2" t="inlineStr">
        <is>
          <t>Microsoft</t>
        </is>
      </c>
      <c r="B110" s="2" t="inlineStr">
        <is>
          <t>No</t>
        </is>
      </c>
      <c r="C110" s="2" t="inlineStr">
        <is>
          <t>Damon Kornhauser</t>
        </is>
      </c>
      <c r="D110" s="2" t="n">
        <v>2</v>
      </c>
      <c r="E110" s="2" t="inlineStr">
        <is>
          <t>initial_outreach</t>
        </is>
      </c>
      <c r="F110" s="2" t="inlineStr">
        <is>
          <t>There was an account for outreach. Operation 35 contact (Nick's list) assigned 7/22; no movement past initial outreach. Not discussed on 9/28 call; assume deprioritized.</t>
        </is>
      </c>
    </row>
    <row r="111">
      <c r="A111" s="2" t="inlineStr">
        <is>
          <t>Mission Cloud</t>
        </is>
      </c>
      <c r="B111" s="2" t="inlineStr">
        <is>
          <t>No</t>
        </is>
      </c>
      <c r="C111" s="2" t="inlineStr">
        <is>
          <t>Damon Kornhauser</t>
        </is>
      </c>
      <c r="D111" s="2" t="n">
        <v>1</v>
      </c>
      <c r="E111" s="2" t="inlineStr">
        <is>
          <t>initial_outreach</t>
        </is>
      </c>
      <c r="F111" s="2" t="inlineStr">
        <is>
          <t>There was an account for outreach. Operation 35 contact (Nick's list) assigned 7/22; no movement past initial outreach. Not discussed on 9/28 call; assume deprioritized.</t>
        </is>
      </c>
    </row>
    <row r="112">
      <c r="A112" s="2" t="inlineStr">
        <is>
          <t>Moody's Analytics</t>
        </is>
      </c>
      <c r="B112" s="2" t="inlineStr">
        <is>
          <t>No</t>
        </is>
      </c>
      <c r="C112" s="2" t="inlineStr">
        <is>
          <t>Damon Kornhauser</t>
        </is>
      </c>
      <c r="D112" s="2" t="n">
        <v>1</v>
      </c>
      <c r="E112" s="2" t="inlineStr">
        <is>
          <t>initial_outreach</t>
        </is>
      </c>
      <c r="F112" s="2" t="inlineStr">
        <is>
          <t>There was an account for outreach. Operation 35 contact (Nick's list) assigned 7/22; no movement past initial outreach. Not discussed on 9/28 call; assume deprioritized.</t>
        </is>
      </c>
    </row>
    <row r="113">
      <c r="A113" s="2" t="inlineStr">
        <is>
          <t>motivationsai</t>
        </is>
      </c>
      <c r="B113" s="2" t="inlineStr">
        <is>
          <t>No</t>
        </is>
      </c>
      <c r="C113" s="2" t="inlineStr">
        <is>
          <t>Damon Kornhauser</t>
        </is>
      </c>
      <c r="D113" s="2" t="n">
        <v>1</v>
      </c>
      <c r="E113" s="2" t="inlineStr">
        <is>
          <t>initial_outreach</t>
        </is>
      </c>
      <c r="F113" s="2" t="inlineStr">
        <is>
          <t>There was an account for outreach. Operation 35 contact (Nick's list) assigned 7/22; no movement past initial outreach. Not discussed on 9/28 call; assume deprioritized.</t>
        </is>
      </c>
    </row>
    <row r="114">
      <c r="A114" s="2" t="inlineStr">
        <is>
          <t>MySkin</t>
        </is>
      </c>
      <c r="B114" s="2" t="inlineStr">
        <is>
          <t>No</t>
        </is>
      </c>
      <c r="C114" s="2" t="inlineStr">
        <is>
          <t>Damon Kornhauser</t>
        </is>
      </c>
      <c r="D114" s="2" t="n">
        <v>1</v>
      </c>
      <c r="E114" s="2" t="inlineStr">
        <is>
          <t>initial_outreach</t>
        </is>
      </c>
      <c r="F114" s="2" t="inlineStr">
        <is>
          <t>There was an account for outreach. Operation 35 contact (Nick's list) assigned 7/22; no movement past initial outreach. Not discussed on 9/28 call; assume deprioritized.</t>
        </is>
      </c>
    </row>
    <row r="115">
      <c r="A115" s="2" t="inlineStr">
        <is>
          <t>NationSwell</t>
        </is>
      </c>
      <c r="B115" s="2" t="inlineStr">
        <is>
          <t>No</t>
        </is>
      </c>
      <c r="C115" s="2" t="inlineStr">
        <is>
          <t>Damon Kornhauser</t>
        </is>
      </c>
      <c r="D115" s="2" t="n">
        <v>1</v>
      </c>
      <c r="E115" s="2" t="inlineStr">
        <is>
          <t>initial_outreach</t>
        </is>
      </c>
      <c r="F115" s="2" t="inlineStr">
        <is>
          <t>There was an account for outreach. Operation 35 contact (Nick's list) assigned 7/22; no movement past initial outreach. Not discussed on 9/28 call; assume deprioritized.</t>
        </is>
      </c>
    </row>
    <row r="116">
      <c r="A116" s="2" t="inlineStr">
        <is>
          <t>New Profit</t>
        </is>
      </c>
      <c r="B116" s="2" t="inlineStr">
        <is>
          <t>No</t>
        </is>
      </c>
      <c r="C116" s="2" t="inlineStr">
        <is>
          <t>Damon Kornhauser</t>
        </is>
      </c>
      <c r="D116" s="2" t="n">
        <v>1</v>
      </c>
      <c r="E116" s="2" t="inlineStr">
        <is>
          <t>initial_outreach</t>
        </is>
      </c>
      <c r="F116" s="2" t="inlineStr">
        <is>
          <t>There was an account for outreach. Operation 35 contact (Nick's list) assigned 7/22; no movement past initial outreach. Not discussed on 9/28 call; assume deprioritized.</t>
        </is>
      </c>
    </row>
    <row r="117">
      <c r="A117" s="2" t="inlineStr">
        <is>
          <t>Nike</t>
        </is>
      </c>
      <c r="B117" s="2" t="inlineStr">
        <is>
          <t>No</t>
        </is>
      </c>
      <c r="C117" s="2" t="inlineStr">
        <is>
          <t>Damon Kornhauser</t>
        </is>
      </c>
      <c r="D117" s="2" t="n">
        <v>1</v>
      </c>
      <c r="E117" s="2" t="inlineStr">
        <is>
          <t>initial_outreach</t>
        </is>
      </c>
      <c r="F117" s="2" t="inlineStr">
        <is>
          <t>There was an account for outreach. Operation 35 contact (Nick's list) assigned 7/22; no movement past initial outreach. Not discussed on 9/28 call; assume deprioritized.</t>
        </is>
      </c>
    </row>
    <row r="118">
      <c r="A118" s="2" t="inlineStr">
        <is>
          <t>Novig</t>
        </is>
      </c>
      <c r="B118" s="2" t="inlineStr">
        <is>
          <t>No</t>
        </is>
      </c>
      <c r="C118" s="2" t="inlineStr">
        <is>
          <t>Damon Kornhauser</t>
        </is>
      </c>
      <c r="D118" s="2" t="n">
        <v>1</v>
      </c>
      <c r="E118" s="2" t="inlineStr">
        <is>
          <t>initial_outreach</t>
        </is>
      </c>
      <c r="F118" s="2" t="inlineStr">
        <is>
          <t>There was an account for outreach. Operation 35 contact (Nick's list) assigned 7/22; no movement past initial outreach. Not discussed on 9/28 call; assume deprioritized.</t>
        </is>
      </c>
    </row>
    <row r="119">
      <c r="A119" s="2" t="inlineStr">
        <is>
          <t>Nymbus</t>
        </is>
      </c>
      <c r="B119" s="2" t="inlineStr">
        <is>
          <t>No</t>
        </is>
      </c>
      <c r="C119" s="2" t="inlineStr">
        <is>
          <t>Damon Kornhauser</t>
        </is>
      </c>
      <c r="D119" s="2" t="n">
        <v>1</v>
      </c>
      <c r="E119" s="2" t="inlineStr">
        <is>
          <t>initial_outreach</t>
        </is>
      </c>
      <c r="F119" s="2" t="inlineStr">
        <is>
          <t>There was an account for outreach. Operation 35 contact (Nick's list) assigned 7/22; no movement past initial outreach. Not discussed on 9/28 call; assume deprioritized.</t>
        </is>
      </c>
    </row>
    <row r="120">
      <c r="A120" s="2" t="inlineStr">
        <is>
          <t>NYU</t>
        </is>
      </c>
      <c r="B120" s="2" t="inlineStr">
        <is>
          <t>No</t>
        </is>
      </c>
      <c r="C120" s="2" t="inlineStr">
        <is>
          <t>Damon Kornhauser</t>
        </is>
      </c>
      <c r="D120" s="2" t="n">
        <v>1</v>
      </c>
      <c r="E120" s="2" t="inlineStr">
        <is>
          <t>initial_outreach</t>
        </is>
      </c>
      <c r="F120" s="2" t="inlineStr">
        <is>
          <t>There was an account for outreach. Operation 35 contact (Nick's list) assigned 7/22; no movement past initial outreach. Not discussed on 9/28 call; assume deprioritized.</t>
        </is>
      </c>
    </row>
    <row r="121">
      <c r="A121" s="2" t="inlineStr">
        <is>
          <t>One Drop</t>
        </is>
      </c>
      <c r="B121" s="2" t="inlineStr">
        <is>
          <t>No</t>
        </is>
      </c>
      <c r="C121" s="2" t="inlineStr">
        <is>
          <t>Damon Kornhauser</t>
        </is>
      </c>
      <c r="D121" s="2" t="n">
        <v>1</v>
      </c>
      <c r="E121" s="2" t="inlineStr">
        <is>
          <t>initial_outreach</t>
        </is>
      </c>
      <c r="F121" s="2" t="inlineStr">
        <is>
          <t>There was an account for outreach. Operation 35 contact (Nick's list) assigned 7/22; no movement past initial outreach. Not discussed on 9/28 call; assume deprioritized.</t>
        </is>
      </c>
    </row>
    <row r="122">
      <c r="A122" s="2" t="inlineStr">
        <is>
          <t>Oscar</t>
        </is>
      </c>
      <c r="B122" s="2" t="inlineStr">
        <is>
          <t>No</t>
        </is>
      </c>
      <c r="C122" s="2" t="inlineStr">
        <is>
          <t>Damon Kornhauser</t>
        </is>
      </c>
      <c r="D122" s="2" t="n">
        <v>1</v>
      </c>
      <c r="E122" s="2" t="inlineStr">
        <is>
          <t>initial_outreach</t>
        </is>
      </c>
      <c r="F122" s="2" t="inlineStr">
        <is>
          <t>There was an account for outreach. Operation 35 contact (Nick's list) assigned 7/22; no movement past initial outreach. Not discussed on 9/28 call; assume deprioritized.</t>
        </is>
      </c>
    </row>
    <row r="123">
      <c r="A123" s="2" t="inlineStr">
        <is>
          <t>Peloton</t>
        </is>
      </c>
      <c r="B123" s="2" t="inlineStr">
        <is>
          <t>No</t>
        </is>
      </c>
      <c r="C123" s="2" t="inlineStr">
        <is>
          <t>Damon Kornhauser</t>
        </is>
      </c>
      <c r="D123" s="2" t="n">
        <v>2</v>
      </c>
      <c r="E123" s="2" t="inlineStr">
        <is>
          <t>initial_outreach</t>
        </is>
      </c>
      <c r="F123" s="2" t="inlineStr">
        <is>
          <t>There was an account for outreach. Operation 35 contact (Nick's list) assigned 7/22; no movement past initial outreach. Not discussed on 9/28 call; assume deprioritized.</t>
        </is>
      </c>
    </row>
    <row r="124">
      <c r="A124" s="2" t="inlineStr">
        <is>
          <t>Penta Medical Recycling</t>
        </is>
      </c>
      <c r="B124" s="2" t="inlineStr">
        <is>
          <t>No</t>
        </is>
      </c>
      <c r="C124" s="2" t="inlineStr">
        <is>
          <t>Damon Kornhauser</t>
        </is>
      </c>
      <c r="D124" s="2" t="n">
        <v>1</v>
      </c>
      <c r="E124" s="2" t="inlineStr">
        <is>
          <t>initial_outreach</t>
        </is>
      </c>
      <c r="F124" s="2" t="inlineStr">
        <is>
          <t>There was an account for outreach. Operation 35 contact (Nick's list) assigned 7/22; no movement past initial outreach. Not discussed on 9/28 call; assume deprioritized.</t>
        </is>
      </c>
    </row>
    <row r="125">
      <c r="A125" s="2" t="inlineStr">
        <is>
          <t>Per Scholas</t>
        </is>
      </c>
      <c r="B125" s="2" t="inlineStr">
        <is>
          <t>No</t>
        </is>
      </c>
      <c r="C125" s="2" t="inlineStr">
        <is>
          <t>Damon Kornhauser</t>
        </is>
      </c>
      <c r="D125" s="2" t="n">
        <v>1</v>
      </c>
      <c r="E125" s="2" t="inlineStr">
        <is>
          <t>initial_outreach</t>
        </is>
      </c>
      <c r="F125" s="2" t="inlineStr">
        <is>
          <t>There was an account for outreach. Operation 35 contact (Nick's list) assigned 7/22; no movement past initial outreach. Not discussed on 9/28 call; assume deprioritized.</t>
        </is>
      </c>
    </row>
    <row r="126">
      <c r="A126" s="2" t="inlineStr">
        <is>
          <t>Pinterest</t>
        </is>
      </c>
      <c r="B126" s="2" t="inlineStr">
        <is>
          <t>No</t>
        </is>
      </c>
      <c r="C126" s="2" t="inlineStr">
        <is>
          <t>Damon Kornhauser</t>
        </is>
      </c>
      <c r="D126" s="2" t="n">
        <v>2</v>
      </c>
      <c r="E126" s="2" t="inlineStr">
        <is>
          <t>initial_outreach</t>
        </is>
      </c>
      <c r="F126" s="2" t="inlineStr">
        <is>
          <t>There was an account for outreach. Operation 35 contact (Nick's list) assigned 7/22; no movement past initial outreach. Not discussed on 9/28 call; assume deprioritized.</t>
        </is>
      </c>
    </row>
    <row r="127">
      <c r="A127" s="2" t="inlineStr">
        <is>
          <t>Playtoon It</t>
        </is>
      </c>
      <c r="B127" s="2" t="inlineStr">
        <is>
          <t>No</t>
        </is>
      </c>
      <c r="C127" s="2" t="inlineStr">
        <is>
          <t>Damon Kornhauser</t>
        </is>
      </c>
      <c r="D127" s="2" t="n">
        <v>1</v>
      </c>
      <c r="E127" s="2" t="inlineStr">
        <is>
          <t>initial_outreach</t>
        </is>
      </c>
      <c r="F127" s="2" t="inlineStr">
        <is>
          <t>There was an account for outreach. Operation 35 contact (Nick's list) assigned 7/22; no movement past initial outreach. Not discussed on 9/28 call; assume deprioritized.</t>
        </is>
      </c>
    </row>
    <row r="128">
      <c r="A128" s="2" t="inlineStr">
        <is>
          <t>Powerhouse HR</t>
        </is>
      </c>
      <c r="B128" s="2" t="inlineStr">
        <is>
          <t>No</t>
        </is>
      </c>
      <c r="C128" s="2" t="inlineStr">
        <is>
          <t>Damon Kornhauser</t>
        </is>
      </c>
      <c r="D128" s="2" t="n">
        <v>1</v>
      </c>
      <c r="E128" s="2" t="inlineStr">
        <is>
          <t>initial_outreach</t>
        </is>
      </c>
      <c r="F128" s="2" t="inlineStr">
        <is>
          <t>There was an account for outreach. Operation 35 contact (Nick's list) assigned 7/22; no movement past initial outreach. Not discussed on 9/28 call; assume deprioritized.</t>
        </is>
      </c>
    </row>
    <row r="129">
      <c r="A129" s="2" t="inlineStr">
        <is>
          <t>RCM Technologies</t>
        </is>
      </c>
      <c r="B129" s="2" t="inlineStr">
        <is>
          <t>No</t>
        </is>
      </c>
      <c r="C129" s="2" t="inlineStr">
        <is>
          <t>Damon Kornhauser</t>
        </is>
      </c>
      <c r="D129" s="2" t="n">
        <v>1</v>
      </c>
      <c r="E129" s="2" t="inlineStr">
        <is>
          <t>initial_outreach</t>
        </is>
      </c>
      <c r="F129" s="2" t="inlineStr">
        <is>
          <t>There was an account for outreach. Operation 35 contact (Nick's list) assigned 7/22; no movement past initial outreach. Not discussed on 9/28 call; assume deprioritized.</t>
        </is>
      </c>
    </row>
    <row r="130">
      <c r="A130" s="2" t="inlineStr">
        <is>
          <t>Reading Partners</t>
        </is>
      </c>
      <c r="B130" s="2" t="inlineStr">
        <is>
          <t>No</t>
        </is>
      </c>
      <c r="C130" s="2" t="inlineStr">
        <is>
          <t>Damon Kornhauser</t>
        </is>
      </c>
      <c r="D130" s="2" t="n">
        <v>1</v>
      </c>
      <c r="E130" s="2" t="inlineStr">
        <is>
          <t>initial_outreach</t>
        </is>
      </c>
      <c r="F130" s="2" t="inlineStr">
        <is>
          <t>There was an account for outreach. Operation 35 contact (Nick's list) assigned 7/22; no movement past initial outreach. Not discussed on 9/28 call; assume deprioritized.</t>
        </is>
      </c>
    </row>
    <row r="131">
      <c r="A131" s="2" t="inlineStr">
        <is>
          <t>San Francisco Compute Company</t>
        </is>
      </c>
      <c r="B131" s="2" t="inlineStr">
        <is>
          <t>No</t>
        </is>
      </c>
      <c r="C131" s="2" t="inlineStr">
        <is>
          <t>Damon Kornhauser</t>
        </is>
      </c>
      <c r="D131" s="2" t="n">
        <v>1</v>
      </c>
      <c r="E131" s="2" t="inlineStr">
        <is>
          <t>initial_outreach</t>
        </is>
      </c>
      <c r="F131" s="2" t="inlineStr">
        <is>
          <t>There was an account for outreach. Operation 35 contact (Nick's list) assigned 7/22; no movement past initial outreach. Not discussed on 9/28 call; assume deprioritized.</t>
        </is>
      </c>
    </row>
    <row r="132">
      <c r="A132" s="2" t="inlineStr">
        <is>
          <t>SCR Ventures</t>
        </is>
      </c>
      <c r="B132" s="2" t="inlineStr">
        <is>
          <t>No</t>
        </is>
      </c>
      <c r="C132" s="2" t="inlineStr">
        <is>
          <t>Damon Kornhauser</t>
        </is>
      </c>
      <c r="D132" s="2" t="n">
        <v>1</v>
      </c>
      <c r="E132" s="2" t="inlineStr">
        <is>
          <t>initial_outreach</t>
        </is>
      </c>
      <c r="F132" s="2" t="inlineStr">
        <is>
          <t>There was an account for outreach. Operation 35 contact (Nick's list) assigned 7/22; no movement past initial outreach. Not discussed on 9/28 call; assume deprioritized.</t>
        </is>
      </c>
    </row>
    <row r="133">
      <c r="A133" s="2" t="inlineStr">
        <is>
          <t>SeatGeek</t>
        </is>
      </c>
      <c r="B133" s="2" t="inlineStr">
        <is>
          <t>No</t>
        </is>
      </c>
      <c r="C133" s="2" t="inlineStr">
        <is>
          <t>Damon Kornhauser</t>
        </is>
      </c>
      <c r="D133" s="2" t="n">
        <v>1</v>
      </c>
      <c r="E133" s="2" t="inlineStr">
        <is>
          <t>initial_outreach</t>
        </is>
      </c>
      <c r="F133" s="2" t="inlineStr">
        <is>
          <t>There was an account for outreach. Operation 35 contact (Nick's list) assigned 7/22; no movement past initial outreach. Not discussed on 9/28 call; assume deprioritized.</t>
        </is>
      </c>
    </row>
    <row r="134">
      <c r="A134" s="2" t="inlineStr">
        <is>
          <t>ServiceTitan</t>
        </is>
      </c>
      <c r="B134" s="2" t="inlineStr">
        <is>
          <t>No</t>
        </is>
      </c>
      <c r="C134" s="2" t="inlineStr">
        <is>
          <t>Damon Kornhauser</t>
        </is>
      </c>
      <c r="D134" s="2" t="n">
        <v>1</v>
      </c>
      <c r="E134" s="2" t="inlineStr">
        <is>
          <t>initial_outreach</t>
        </is>
      </c>
      <c r="F134" s="2" t="inlineStr">
        <is>
          <t>There was an account for outreach. Operation 35 contact (Nick's list) assigned 7/22; no movement past initial outreach. Not discussed on 9/28 call; assume deprioritized.</t>
        </is>
      </c>
    </row>
    <row r="135">
      <c r="A135" s="2" t="inlineStr">
        <is>
          <t>Shopkeep</t>
        </is>
      </c>
      <c r="B135" s="2" t="inlineStr">
        <is>
          <t>No</t>
        </is>
      </c>
      <c r="C135" s="2" t="inlineStr">
        <is>
          <t>Damon Kornhauser</t>
        </is>
      </c>
      <c r="D135" s="2" t="n">
        <v>3</v>
      </c>
      <c r="E135" s="2" t="inlineStr">
        <is>
          <t>initial_outreach</t>
        </is>
      </c>
      <c r="F135" s="2" t="inlineStr">
        <is>
          <t>There was an account for outreach. Operation 35 contact (Nick's list) assigned 7/22; no movement past initial outreach. Not discussed on 9/28 call; assume deprioritized.</t>
        </is>
      </c>
    </row>
    <row r="136">
      <c r="A136" s="2" t="inlineStr">
        <is>
          <t>Showtime</t>
        </is>
      </c>
      <c r="B136" s="2" t="inlineStr">
        <is>
          <t>No</t>
        </is>
      </c>
      <c r="C136" s="2" t="inlineStr">
        <is>
          <t>Damon Kornhauser</t>
        </is>
      </c>
      <c r="D136" s="2" t="n">
        <v>1</v>
      </c>
      <c r="E136" s="2" t="inlineStr">
        <is>
          <t>initial_outreach</t>
        </is>
      </c>
      <c r="F136" s="2" t="inlineStr">
        <is>
          <t>There was an account for outreach. Operation 35 contact (Nick's list) assigned 7/22; no movement past initial outreach. Not discussed on 9/28 call; assume deprioritized.</t>
        </is>
      </c>
    </row>
    <row r="137">
      <c r="A137" s="2" t="inlineStr">
        <is>
          <t>Siberia</t>
        </is>
      </c>
      <c r="B137" s="2" t="inlineStr">
        <is>
          <t>No</t>
        </is>
      </c>
      <c r="C137" s="2" t="inlineStr">
        <is>
          <t>Damon Kornhauser</t>
        </is>
      </c>
      <c r="D137" s="2" t="n">
        <v>1</v>
      </c>
      <c r="E137" s="2" t="inlineStr">
        <is>
          <t>initial_outreach</t>
        </is>
      </c>
      <c r="F137" s="2" t="inlineStr">
        <is>
          <t>There was an account for outreach. Operation 35 contact (Nick's list) assigned 7/22; no movement past initial outreach. Not discussed on 9/28 call; assume deprioritized.</t>
        </is>
      </c>
    </row>
    <row r="138">
      <c r="A138" s="2" t="inlineStr">
        <is>
          <t>Sift</t>
        </is>
      </c>
      <c r="B138" s="2" t="inlineStr">
        <is>
          <t>No</t>
        </is>
      </c>
      <c r="C138" s="2" t="inlineStr">
        <is>
          <t>Damon Kornhauser</t>
        </is>
      </c>
      <c r="D138" s="2" t="n">
        <v>1</v>
      </c>
      <c r="E138" s="2" t="inlineStr">
        <is>
          <t>initial_outreach</t>
        </is>
      </c>
      <c r="F138" s="2" t="inlineStr">
        <is>
          <t>There was an account for outreach. Operation 35 contact (Nick's list) assigned 7/22; no movement past initial outreach. Not discussed on 9/28 call; assume deprioritized.</t>
        </is>
      </c>
    </row>
    <row r="139">
      <c r="A139" s="2" t="inlineStr">
        <is>
          <t>Simulmedia</t>
        </is>
      </c>
      <c r="B139" s="2" t="inlineStr">
        <is>
          <t>No</t>
        </is>
      </c>
      <c r="C139" s="2" t="inlineStr">
        <is>
          <t>Damon Kornhauser</t>
        </is>
      </c>
      <c r="D139" s="2" t="n">
        <v>1</v>
      </c>
      <c r="E139" s="2" t="inlineStr">
        <is>
          <t>initial_outreach</t>
        </is>
      </c>
      <c r="F139" s="2" t="inlineStr">
        <is>
          <t>There was an account for outreach. Operation 35 contact (Nick's list) assigned 7/22; no movement past initial outreach. Not discussed on 9/28 call; assume deprioritized.</t>
        </is>
      </c>
    </row>
    <row r="140">
      <c r="A140" s="2" t="inlineStr">
        <is>
          <t>Skillshare</t>
        </is>
      </c>
      <c r="B140" s="2" t="inlineStr">
        <is>
          <t>No</t>
        </is>
      </c>
      <c r="C140" s="2" t="inlineStr">
        <is>
          <t>Damon Kornhauser</t>
        </is>
      </c>
      <c r="D140" s="2" t="n">
        <v>1</v>
      </c>
      <c r="E140" s="2" t="inlineStr">
        <is>
          <t>initial_outreach</t>
        </is>
      </c>
      <c r="F140" s="2" t="inlineStr">
        <is>
          <t>There was an account for outreach. Operation 35 contact (Nick's list) assigned 7/22; no movement past initial outreach. Not discussed on 9/28 call; assume deprioritized.</t>
        </is>
      </c>
    </row>
    <row r="141">
      <c r="A141" s="2" t="inlineStr">
        <is>
          <t>Special Kaliber Entertainment</t>
        </is>
      </c>
      <c r="B141" s="2" t="inlineStr">
        <is>
          <t>No</t>
        </is>
      </c>
      <c r="C141" s="2" t="inlineStr">
        <is>
          <t>Damon Kornhauser</t>
        </is>
      </c>
      <c r="D141" s="2" t="n">
        <v>1</v>
      </c>
      <c r="E141" s="2" t="inlineStr">
        <is>
          <t>initial_outreach</t>
        </is>
      </c>
      <c r="F141" s="2" t="inlineStr">
        <is>
          <t>There was an account for outreach. Operation 35 contact (Nick's list) assigned 7/22; no movement past initial outreach. Not discussed on 9/28 call; assume deprioritized.</t>
        </is>
      </c>
    </row>
    <row r="142">
      <c r="A142" s="2" t="inlineStr">
        <is>
          <t>Spotify</t>
        </is>
      </c>
      <c r="B142" s="2" t="inlineStr">
        <is>
          <t>No</t>
        </is>
      </c>
      <c r="C142" s="2" t="inlineStr">
        <is>
          <t>Damon Kornhauser</t>
        </is>
      </c>
      <c r="D142" s="2" t="n">
        <v>6</v>
      </c>
      <c r="E142" s="2" t="inlineStr">
        <is>
          <t>initial_outreach</t>
        </is>
      </c>
      <c r="F142" s="2" t="inlineStr">
        <is>
          <t>There was an account for outreach. Operation 35 contact (Nick's list) assigned 7/22; no movement past initial outreach. Not discussed on 9/28 call; assume deprioritized.</t>
        </is>
      </c>
    </row>
    <row r="143">
      <c r="A143" s="2" t="inlineStr">
        <is>
          <t>Springer Publishing</t>
        </is>
      </c>
      <c r="B143" s="2" t="inlineStr">
        <is>
          <t>No</t>
        </is>
      </c>
      <c r="C143" s="2" t="inlineStr">
        <is>
          <t>Damon Kornhauser</t>
        </is>
      </c>
      <c r="D143" s="2" t="n">
        <v>1</v>
      </c>
      <c r="E143" s="2" t="inlineStr">
        <is>
          <t>initial_outreach</t>
        </is>
      </c>
      <c r="F143" s="2" t="inlineStr">
        <is>
          <t>There was an account for outreach. Operation 35 contact (Nick's list) assigned 7/22; no movement past initial outreach. Not discussed on 9/28 call; assume deprioritized.</t>
        </is>
      </c>
    </row>
    <row r="144">
      <c r="A144" s="2" t="inlineStr">
        <is>
          <t>Spring Health</t>
        </is>
      </c>
      <c r="B144" s="2" t="inlineStr">
        <is>
          <t>No</t>
        </is>
      </c>
      <c r="C144" s="2" t="inlineStr">
        <is>
          <t>Damon Kornhauser</t>
        </is>
      </c>
      <c r="D144" s="2" t="n">
        <v>1</v>
      </c>
      <c r="E144" s="2" t="inlineStr">
        <is>
          <t>initial_outreach</t>
        </is>
      </c>
      <c r="F144" s="2" t="inlineStr">
        <is>
          <t>There was an account for outreach. Operation 35 contact (Nick's list) assigned 7/22; no movement past initial outreach. Not discussed on 9/28 call; assume deprioritized.</t>
        </is>
      </c>
    </row>
    <row r="145">
      <c r="A145" s="2" t="inlineStr">
        <is>
          <t>Starz</t>
        </is>
      </c>
      <c r="B145" s="2" t="inlineStr">
        <is>
          <t>No</t>
        </is>
      </c>
      <c r="C145" s="2" t="inlineStr">
        <is>
          <t>Damon Kornhauser</t>
        </is>
      </c>
      <c r="D145" s="2" t="n">
        <v>1</v>
      </c>
      <c r="E145" s="2" t="inlineStr">
        <is>
          <t>initial_outreach</t>
        </is>
      </c>
      <c r="F145" s="2" t="inlineStr">
        <is>
          <t>There was an account for outreach. Operation 35 contact (Nick's list) assigned 7/22; no movement past initial outreach. Not discussed on 9/28 call; assume deprioritized.</t>
        </is>
      </c>
    </row>
    <row r="146">
      <c r="A146" s="2" t="inlineStr">
        <is>
          <t>Stash</t>
        </is>
      </c>
      <c r="B146" s="2" t="inlineStr">
        <is>
          <t>No</t>
        </is>
      </c>
      <c r="C146" s="2" t="inlineStr">
        <is>
          <t>Damon Kornhauser</t>
        </is>
      </c>
      <c r="D146" s="2" t="n">
        <v>1</v>
      </c>
      <c r="E146" s="2" t="inlineStr">
        <is>
          <t>initial_outreach</t>
        </is>
      </c>
      <c r="F146" s="2" t="inlineStr">
        <is>
          <t>There was an account for outreach. Operation 35 contact (Nick's list) assigned 7/22; no movement past initial outreach. Not discussed on 9/28 call; assume deprioritized.</t>
        </is>
      </c>
    </row>
    <row r="147">
      <c r="A147" s="2" t="inlineStr">
        <is>
          <t>Stellae International</t>
        </is>
      </c>
      <c r="B147" s="2" t="inlineStr">
        <is>
          <t>No</t>
        </is>
      </c>
      <c r="C147" s="2" t="inlineStr">
        <is>
          <t>Damon Kornhauser</t>
        </is>
      </c>
      <c r="D147" s="2" t="n">
        <v>1</v>
      </c>
      <c r="E147" s="2" t="inlineStr">
        <is>
          <t>initial_outreach</t>
        </is>
      </c>
      <c r="F147" s="2" t="inlineStr">
        <is>
          <t>There was an account for outreach. Operation 35 contact (Nick's list) assigned 7/22; no movement past initial outreach. Not discussed on 9/28 call; assume deprioritized.</t>
        </is>
      </c>
    </row>
    <row r="148">
      <c r="A148" s="2" t="inlineStr">
        <is>
          <t>Sumitomo Mitsui Banking Corporation</t>
        </is>
      </c>
      <c r="B148" s="2" t="inlineStr">
        <is>
          <t>No</t>
        </is>
      </c>
      <c r="C148" s="2" t="inlineStr">
        <is>
          <t>Damon Kornhauser</t>
        </is>
      </c>
      <c r="D148" s="2" t="n">
        <v>1</v>
      </c>
      <c r="E148" s="2" t="inlineStr">
        <is>
          <t>initial_outreach</t>
        </is>
      </c>
      <c r="F148" s="2" t="inlineStr">
        <is>
          <t>There was an account for outreach. Operation 35 contact (Nick's list) assigned 7/22; no movement past initial outreach. Not discussed on 9/28 call; assume deprioritized.</t>
        </is>
      </c>
    </row>
    <row r="149">
      <c r="A149" s="2" t="inlineStr">
        <is>
          <t>SupaHuman AI</t>
        </is>
      </c>
      <c r="B149" s="2" t="inlineStr">
        <is>
          <t>No</t>
        </is>
      </c>
      <c r="C149" s="2" t="inlineStr">
        <is>
          <t>Damon Kornhauser</t>
        </is>
      </c>
      <c r="D149" s="2" t="n">
        <v>1</v>
      </c>
      <c r="E149" s="2" t="inlineStr">
        <is>
          <t>initial_outreach</t>
        </is>
      </c>
      <c r="F149" s="2" t="inlineStr">
        <is>
          <t>There was an account for outreach. Operation 35 contact (Nick's list) assigned 7/22; no movement past initial outreach. Not discussed on 9/28 call; assume deprioritized.</t>
        </is>
      </c>
    </row>
    <row r="150">
      <c r="A150" s="2" t="inlineStr">
        <is>
          <t>Teachstone</t>
        </is>
      </c>
      <c r="B150" s="2" t="inlineStr">
        <is>
          <t>No</t>
        </is>
      </c>
      <c r="C150" s="2" t="inlineStr">
        <is>
          <t>Damon Kornhauser</t>
        </is>
      </c>
      <c r="D150" s="2" t="n">
        <v>1</v>
      </c>
      <c r="E150" s="2" t="inlineStr">
        <is>
          <t>initial_outreach</t>
        </is>
      </c>
      <c r="F150" s="2" t="inlineStr">
        <is>
          <t>There was an account for outreach. Operation 35 contact (Nick's list) assigned 7/22; no movement past initial outreach. Not discussed on 9/28 call; assume deprioritized.</t>
        </is>
      </c>
    </row>
    <row r="151">
      <c r="A151" s="2" t="inlineStr">
        <is>
          <t>Tempo</t>
        </is>
      </c>
      <c r="B151" s="2" t="inlineStr">
        <is>
          <t>No</t>
        </is>
      </c>
      <c r="C151" s="2" t="inlineStr">
        <is>
          <t>Damon Kornhauser</t>
        </is>
      </c>
      <c r="D151" s="2" t="n">
        <v>1</v>
      </c>
      <c r="E151" s="2" t="inlineStr">
        <is>
          <t>initial_outreach</t>
        </is>
      </c>
      <c r="F151" s="2" t="inlineStr">
        <is>
          <t>There was an account for outreach. Operation 35 contact (Nick's list) assigned 7/22; no movement past initial outreach. Not discussed on 9/28 call; assume deprioritized.</t>
        </is>
      </c>
    </row>
    <row r="152">
      <c r="A152" s="2" t="inlineStr">
        <is>
          <t>TF Cornerstone</t>
        </is>
      </c>
      <c r="B152" s="2" t="inlineStr">
        <is>
          <t>No</t>
        </is>
      </c>
      <c r="C152" s="2" t="inlineStr">
        <is>
          <t>Damon Kornhauser</t>
        </is>
      </c>
      <c r="D152" s="2" t="n">
        <v>1</v>
      </c>
      <c r="E152" s="2" t="inlineStr">
        <is>
          <t>initial_outreach</t>
        </is>
      </c>
      <c r="F152" s="2" t="inlineStr">
        <is>
          <t>There was an account for outreach. Operation 35 contact (Nick's list) assigned 7/22; no movement past initial outreach. Not discussed on 9/28 call; assume deprioritized.</t>
        </is>
      </c>
    </row>
    <row r="153">
      <c r="A153" s="2" t="inlineStr">
        <is>
          <t>The Bridge</t>
        </is>
      </c>
      <c r="B153" s="2" t="inlineStr">
        <is>
          <t>No</t>
        </is>
      </c>
      <c r="C153" s="2" t="inlineStr">
        <is>
          <t>Damon Kornhauser</t>
        </is>
      </c>
      <c r="D153" s="2" t="n">
        <v>1</v>
      </c>
      <c r="E153" s="2" t="inlineStr">
        <is>
          <t>initial_outreach</t>
        </is>
      </c>
      <c r="F153" s="2" t="inlineStr">
        <is>
          <t>There was an account for outreach. Operation 35 contact (Nick's list) assigned 7/22; no movement past initial outreach. Not discussed on 9/28 call; assume deprioritized.</t>
        </is>
      </c>
    </row>
    <row r="154">
      <c r="A154" s="2" t="inlineStr">
        <is>
          <t>The Fulbright Program</t>
        </is>
      </c>
      <c r="B154" s="2" t="inlineStr">
        <is>
          <t>No</t>
        </is>
      </c>
      <c r="C154" s="2" t="inlineStr">
        <is>
          <t>Damon Kornhauser</t>
        </is>
      </c>
      <c r="D154" s="2" t="n">
        <v>1</v>
      </c>
      <c r="E154" s="2" t="inlineStr">
        <is>
          <t>initial_outreach</t>
        </is>
      </c>
      <c r="F154" s="2" t="inlineStr">
        <is>
          <t>There was an account for outreach. Operation 35 contact (Nick's list) assigned 7/22; no movement past initial outreach. Not discussed on 9/28 call; assume deprioritized.</t>
        </is>
      </c>
    </row>
    <row r="155">
      <c r="A155" s="2" t="inlineStr">
        <is>
          <t>The New York Times</t>
        </is>
      </c>
      <c r="B155" s="2" t="inlineStr">
        <is>
          <t>No</t>
        </is>
      </c>
      <c r="C155" s="2" t="inlineStr">
        <is>
          <t>Damon Kornhauser</t>
        </is>
      </c>
      <c r="D155" s="2" t="n">
        <v>1</v>
      </c>
      <c r="E155" s="2" t="inlineStr">
        <is>
          <t>initial_outreach</t>
        </is>
      </c>
      <c r="F155" s="2" t="inlineStr">
        <is>
          <t>There was an account for outreach. Operation 35 contact (Nick's list) assigned 7/22; no movement past initial outreach. Not discussed on 9/28 call; assume deprioritized.</t>
        </is>
      </c>
    </row>
    <row r="156">
      <c r="A156" s="2" t="inlineStr">
        <is>
          <t>The Walt Disney Company</t>
        </is>
      </c>
      <c r="B156" s="2" t="inlineStr">
        <is>
          <t>No</t>
        </is>
      </c>
      <c r="C156" s="2" t="inlineStr">
        <is>
          <t>Damon Kornhauser</t>
        </is>
      </c>
      <c r="D156" s="2" t="n">
        <v>1</v>
      </c>
      <c r="E156" s="2" t="inlineStr">
        <is>
          <t>initial_outreach</t>
        </is>
      </c>
      <c r="F156" s="2" t="inlineStr">
        <is>
          <t>There was an account for outreach. Operation 35 contact (Nick's list) assigned 7/22; no movement past initial outreach. Not discussed on 9/28 call; assume deprioritized.</t>
        </is>
      </c>
    </row>
    <row r="157">
      <c r="A157" s="2" t="inlineStr">
        <is>
          <t>Thumbtack</t>
        </is>
      </c>
      <c r="B157" s="2" t="inlineStr">
        <is>
          <t>No</t>
        </is>
      </c>
      <c r="C157" s="2" t="inlineStr">
        <is>
          <t>Damon Kornhauser</t>
        </is>
      </c>
      <c r="D157" s="2" t="n">
        <v>1</v>
      </c>
      <c r="E157" s="2" t="inlineStr">
        <is>
          <t>initial_outreach</t>
        </is>
      </c>
      <c r="F157" s="2" t="inlineStr">
        <is>
          <t>There was an account for outreach. Operation 35 contact (Nick's list) assigned 7/22; no movement past initial outreach. Not discussed on 9/28 call; assume deprioritized.</t>
        </is>
      </c>
    </row>
    <row r="158">
      <c r="A158" s="2" t="inlineStr">
        <is>
          <t>Tolentino LLC Sneaker Wholesale</t>
        </is>
      </c>
      <c r="B158" s="2" t="inlineStr">
        <is>
          <t>No</t>
        </is>
      </c>
      <c r="C158" s="2" t="inlineStr">
        <is>
          <t>Damon Kornhauser</t>
        </is>
      </c>
      <c r="D158" s="2" t="n">
        <v>1</v>
      </c>
      <c r="E158" s="2" t="inlineStr">
        <is>
          <t>initial_outreach</t>
        </is>
      </c>
      <c r="F158" s="2" t="inlineStr">
        <is>
          <t>There was an account for outreach. Operation 35 contact (Nick's list) assigned 7/22; no movement past initial outreach. Not discussed on 9/28 call; assume deprioritized.</t>
        </is>
      </c>
    </row>
    <row r="159">
      <c r="A159" s="2" t="inlineStr">
        <is>
          <t>TwinKnowledge</t>
        </is>
      </c>
      <c r="B159" s="2" t="inlineStr">
        <is>
          <t>No</t>
        </is>
      </c>
      <c r="C159" s="2" t="inlineStr">
        <is>
          <t>Damon Kornhauser</t>
        </is>
      </c>
      <c r="D159" s="2" t="n">
        <v>1</v>
      </c>
      <c r="E159" s="2" t="inlineStr">
        <is>
          <t>initial_outreach</t>
        </is>
      </c>
      <c r="F159" s="2" t="inlineStr">
        <is>
          <t>There was an account for outreach. Operation 35 contact (Nick's list) assigned 7/22; no movement past initial outreach. Not discussed on 9/28 call; assume deprioritized.</t>
        </is>
      </c>
    </row>
    <row r="160">
      <c r="A160" s="2" t="inlineStr">
        <is>
          <t>Twitter</t>
        </is>
      </c>
      <c r="B160" s="2" t="inlineStr">
        <is>
          <t>No</t>
        </is>
      </c>
      <c r="C160" s="2" t="inlineStr">
        <is>
          <t>Damon Kornhauser</t>
        </is>
      </c>
      <c r="D160" s="2" t="n">
        <v>1</v>
      </c>
      <c r="E160" s="2" t="inlineStr">
        <is>
          <t>initial_outreach</t>
        </is>
      </c>
      <c r="F160" s="2" t="inlineStr">
        <is>
          <t>There was an account for outreach. Operation 35 contact (Nick's list) assigned 7/22; no movement past initial outreach. Not discussed on 9/28 call; assume deprioritized.</t>
        </is>
      </c>
    </row>
    <row r="161">
      <c r="A161" s="2" t="inlineStr">
        <is>
          <t>Uber (incl. Uber Eats)</t>
        </is>
      </c>
      <c r="B161" s="2" t="inlineStr">
        <is>
          <t>No</t>
        </is>
      </c>
      <c r="C161" s="2" t="inlineStr">
        <is>
          <t>Damon Kornhauser</t>
        </is>
      </c>
      <c r="D161" s="2" t="n">
        <v>6</v>
      </c>
      <c r="E161" s="2" t="inlineStr">
        <is>
          <t>initial_outreach</t>
        </is>
      </c>
      <c r="F161" s="2" t="inlineStr">
        <is>
          <t>There was an account for outreach. Operation 35 contact (Nick's list) assigned 7/22; no movement past initial outreach. Not discussed on 9/28 call; assume deprioritized.</t>
        </is>
      </c>
    </row>
    <row r="162">
      <c r="A162" s="2" t="inlineStr">
        <is>
          <t>United Enterprise</t>
        </is>
      </c>
      <c r="B162" s="2" t="inlineStr">
        <is>
          <t>No</t>
        </is>
      </c>
      <c r="C162" s="2" t="inlineStr">
        <is>
          <t>Damon Kornhauser</t>
        </is>
      </c>
      <c r="D162" s="2" t="n">
        <v>1</v>
      </c>
      <c r="E162" s="2" t="inlineStr">
        <is>
          <t>initial_outreach</t>
        </is>
      </c>
      <c r="F162" s="2" t="inlineStr">
        <is>
          <t>There was an account for outreach. Operation 35 contact (Nick's list) assigned 7/22; no movement past initial outreach. Not discussed on 9/28 call; assume deprioritized.</t>
        </is>
      </c>
    </row>
    <row r="163">
      <c r="A163" s="2" t="inlineStr">
        <is>
          <t>V.DeLaCruz Photo/Video</t>
        </is>
      </c>
      <c r="B163" s="2" t="inlineStr">
        <is>
          <t>No</t>
        </is>
      </c>
      <c r="C163" s="2" t="inlineStr">
        <is>
          <t>Damon Kornhauser</t>
        </is>
      </c>
      <c r="D163" s="2" t="n">
        <v>1</v>
      </c>
      <c r="E163" s="2" t="inlineStr">
        <is>
          <t>initial_outreach</t>
        </is>
      </c>
      <c r="F163" s="2" t="inlineStr">
        <is>
          <t>There was an account for outreach. Operation 35 contact (Nick's list) assigned 7/22; no movement past initial outreach. Not discussed on 9/28 call; assume deprioritized.</t>
        </is>
      </c>
    </row>
    <row r="164">
      <c r="A164" s="2" t="inlineStr">
        <is>
          <t>Veea</t>
        </is>
      </c>
      <c r="B164" s="2" t="inlineStr">
        <is>
          <t>No</t>
        </is>
      </c>
      <c r="C164" s="2" t="inlineStr">
        <is>
          <t>Damon Kornhauser</t>
        </is>
      </c>
      <c r="D164" s="2" t="n">
        <v>1</v>
      </c>
      <c r="E164" s="2" t="inlineStr">
        <is>
          <t>initial_outreach</t>
        </is>
      </c>
      <c r="F164" s="2" t="inlineStr">
        <is>
          <t>There was an account for outreach. Operation 35 contact (Nick's list) assigned 7/22; no movement past initial outreach. Not discussed on 9/28 call; assume deprioritized.</t>
        </is>
      </c>
    </row>
    <row r="165">
      <c r="A165" s="2" t="inlineStr">
        <is>
          <t>Verizon</t>
        </is>
      </c>
      <c r="B165" s="2" t="inlineStr">
        <is>
          <t>No</t>
        </is>
      </c>
      <c r="C165" s="2" t="inlineStr">
        <is>
          <t>Damon Kornhauser</t>
        </is>
      </c>
      <c r="D165" s="2" t="n">
        <v>1</v>
      </c>
      <c r="E165" s="2" t="inlineStr">
        <is>
          <t>initial_outreach</t>
        </is>
      </c>
      <c r="F165" s="2" t="inlineStr">
        <is>
          <t>There was an account for outreach. Operation 35 contact (Nick's list) assigned 7/22; no movement past initial outreach. Not discussed on 9/28 call; assume deprioritized.</t>
        </is>
      </c>
    </row>
    <row r="166">
      <c r="A166" s="2" t="inlineStr">
        <is>
          <t>Vivian Health</t>
        </is>
      </c>
      <c r="B166" s="2" t="inlineStr">
        <is>
          <t>No</t>
        </is>
      </c>
      <c r="C166" s="2" t="inlineStr">
        <is>
          <t>Damon Kornhauser</t>
        </is>
      </c>
      <c r="D166" s="2" t="n">
        <v>1</v>
      </c>
      <c r="E166" s="2" t="inlineStr">
        <is>
          <t>initial_outreach</t>
        </is>
      </c>
      <c r="F166" s="2" t="inlineStr">
        <is>
          <t>There was an account for outreach. Operation 35 contact (Nick's list) assigned 7/22; no movement past initial outreach. Not discussed on 9/28 call; assume deprioritized.</t>
        </is>
      </c>
    </row>
    <row r="167">
      <c r="A167" s="2" t="inlineStr">
        <is>
          <t>Walmart</t>
        </is>
      </c>
      <c r="B167" s="2" t="inlineStr">
        <is>
          <t>No</t>
        </is>
      </c>
      <c r="C167" s="2" t="inlineStr">
        <is>
          <t>Damon Kornhauser</t>
        </is>
      </c>
      <c r="D167" s="2" t="n">
        <v>1</v>
      </c>
      <c r="E167" s="2" t="inlineStr">
        <is>
          <t>initial_outreach</t>
        </is>
      </c>
      <c r="F167" s="2" t="inlineStr">
        <is>
          <t>There was an account for outreach. Operation 35 contact (Nick's list) assigned 7/22; no movement past initial outreach. Not discussed on 9/28 call; assume deprioritized.</t>
        </is>
      </c>
    </row>
    <row r="168">
      <c r="A168" s="2" t="inlineStr">
        <is>
          <t>We Do Construction</t>
        </is>
      </c>
      <c r="B168" s="2" t="inlineStr">
        <is>
          <t>No</t>
        </is>
      </c>
      <c r="C168" s="2" t="inlineStr">
        <is>
          <t>Damon Kornhauser</t>
        </is>
      </c>
      <c r="D168" s="2" t="n">
        <v>1</v>
      </c>
      <c r="E168" s="2" t="inlineStr">
        <is>
          <t>initial_outreach</t>
        </is>
      </c>
      <c r="F168" s="2" t="inlineStr">
        <is>
          <t>There was an account for outreach. Operation 35 contact (Nick's list) assigned 7/22; no movement past initial outreach. Not discussed on 9/28 call; assume deprioritized.</t>
        </is>
      </c>
    </row>
    <row r="169">
      <c r="A169" s="2" t="inlineStr">
        <is>
          <t>World Economic Forum</t>
        </is>
      </c>
      <c r="B169" s="2" t="inlineStr">
        <is>
          <t>No</t>
        </is>
      </c>
      <c r="C169" s="2" t="inlineStr">
        <is>
          <t>Damon Kornhauser</t>
        </is>
      </c>
      <c r="D169" s="2" t="n">
        <v>1</v>
      </c>
      <c r="E169" s="2" t="inlineStr">
        <is>
          <t>initial_outreach</t>
        </is>
      </c>
      <c r="F169" s="2" t="inlineStr">
        <is>
          <t>There was an account for outreach. Operation 35 contact (Nick's list) assigned 7/22; no movement past initial outreach. Not discussed on 9/28 call; assume deprioritized.</t>
        </is>
      </c>
    </row>
    <row r="170">
      <c r="A170" s="2" t="inlineStr">
        <is>
          <t>xoogler</t>
        </is>
      </c>
      <c r="B170" s="2" t="inlineStr">
        <is>
          <t>No</t>
        </is>
      </c>
      <c r="C170" s="2" t="inlineStr">
        <is>
          <t>Damon Kornhauser</t>
        </is>
      </c>
      <c r="D170" s="2" t="n">
        <v>1</v>
      </c>
      <c r="E170" s="2" t="inlineStr">
        <is>
          <t>initial_outreach</t>
        </is>
      </c>
      <c r="F170" s="2" t="inlineStr">
        <is>
          <t>There was an account for outreach. Operation 35 contact (Nick's list) assigned 7/22; no movement past initial outreach. Not discussed on 9/28 call; assume deprioritized.</t>
        </is>
      </c>
    </row>
    <row r="171">
      <c r="A171" s="2" t="inlineStr">
        <is>
          <t>Yubico</t>
        </is>
      </c>
      <c r="B171" s="2" t="inlineStr">
        <is>
          <t>No</t>
        </is>
      </c>
      <c r="C171" s="2" t="inlineStr">
        <is>
          <t>Damon Kornhauser</t>
        </is>
      </c>
      <c r="D171" s="2" t="n">
        <v>1</v>
      </c>
      <c r="E171" s="2" t="inlineStr">
        <is>
          <t>initial_outreach</t>
        </is>
      </c>
      <c r="F171" s="2" t="inlineStr">
        <is>
          <t>There was an account for outreach. Operation 35 contact (Nick's list) assigned 7/22; no movement past initial outreach. Not discussed on 9/28 call; assume deprioritized.</t>
        </is>
      </c>
    </row>
    <row r="172">
      <c r="A172" s="2" t="n"/>
      <c r="B172" s="2" t="n"/>
      <c r="C172" s="2" t="n"/>
      <c r="D172" s="2" t="n"/>
      <c r="E172" s="2" t="n"/>
      <c r="F172" s="2" t="n"/>
    </row>
    <row r="173">
      <c r="A173" s="2" t="inlineStr">
        <is>
          <t>Excluded from this appendix: companies discussed on the call (Blackstone, Capital One, Citi, Goldman Sachs, JPMC, Morgan Stanley), companies with an open opp already listed in the Deprioritized tab, and records with no company, 'Pursuit', 'C4Q', 'Self-employed', 'Freelance', or 'Unknown' (34 Damon + 10 Avni contacts).</t>
        </is>
      </c>
      <c r="B173" s="2" t="n"/>
      <c r="C173" s="2" t="n"/>
      <c r="D173" s="2" t="n"/>
      <c r="E173" s="2" t="n"/>
      <c r="F17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2026-09-28T17:32:26Z</dcterms:created>
  <dcterms:modified xsi:type="dcterms:W3CDTF">2026-09-28T17:32:26Z</dcterms:modified>
</cp:coreProperties>
</file>